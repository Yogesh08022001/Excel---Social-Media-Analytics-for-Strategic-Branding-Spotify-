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ala\course 2\course 2 project\"/>
    </mc:Choice>
  </mc:AlternateContent>
  <xr:revisionPtr revIDLastSave="0" documentId="13_ncr:1_{E14B5EAC-7C6D-4D5F-A2F7-7BC2D6B84128}" xr6:coauthVersionLast="47" xr6:coauthVersionMax="47" xr10:uidLastSave="{00000000-0000-0000-0000-000000000000}"/>
  <bookViews>
    <workbookView xWindow="-120" yWindow="-120" windowWidth="29040" windowHeight="15720" tabRatio="650" activeTab="7" xr2:uid="{14F59686-09E2-496A-8BCD-BF7F37D93EEC}"/>
  </bookViews>
  <sheets>
    <sheet name="Posts" sheetId="4" r:id="rId1"/>
    <sheet name="Engagement Summary" sheetId="3" r:id="rId2"/>
    <sheet name="Campaign Metadata" sheetId="2" r:id="rId3"/>
    <sheet name="Seprated Hashtag" sheetId="7" r:id="rId4"/>
    <sheet name="5.1.1Campaign Effectiveness" sheetId="11" r:id="rId5"/>
    <sheet name="5.1.2" sheetId="13" r:id="rId6"/>
    <sheet name="5.2.1" sheetId="14" r:id="rId7"/>
    <sheet name="5.2.2" sheetId="15" r:id="rId8"/>
  </sheets>
  <definedNames>
    <definedName name="_xlnm._FilterDatabase" localSheetId="4" hidden="1">'5.1.1Campaign Effectiveness'!$A$28:$D$32</definedName>
    <definedName name="_xlnm._FilterDatabase" localSheetId="5" hidden="1">'5.1.2'!$A$4:$K$8</definedName>
    <definedName name="_xlnm._FilterDatabase" localSheetId="7" hidden="1">'5.2.2'!$A$5:$D$9</definedName>
    <definedName name="_xlcn.WorksheetConnection_ProjectExcel.xlsxCampaign_Metadata1" hidden="1">Campaign_Metadata[]</definedName>
    <definedName name="_xlcn.WorksheetConnection_ProjectExcel.xlsxEngagement_Summary1" hidden="1">Engagement_Summary[]</definedName>
    <definedName name="_xlcn.WorksheetConnection_ProjectExcel.xlsxPosts1" hidden="1">Posts[]</definedName>
    <definedName name="_xlcn.WorksheetConnection_ProjectExcel.xlsxTable81" hidden="1">Table8</definedName>
    <definedName name="ExternalData_1" localSheetId="4" hidden="1">'5.1.1Campaign Effectiveness'!#REF!</definedName>
    <definedName name="ExternalData_1" localSheetId="2" hidden="1">'Campaign Metadata'!$A$1:$I$5</definedName>
    <definedName name="ExternalData_2" localSheetId="1" hidden="1">'Engagement Summary'!$A$1:$I$201</definedName>
    <definedName name="ExternalData_3" localSheetId="0" hidden="1">Posts!$A$1:$O$301</definedName>
    <definedName name="ExternalData_4" localSheetId="3" hidden="1">'Seprated Hashtag'!$A$1:$N$484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s" name="Posts" connection="WorksheetConnection_Project Excel.xlsx!Posts"/>
          <x15:modelTable id="Engagement_Summary" name="Engagement_Summary" connection="WorksheetConnection_Project Excel.xlsx!Engagement_Summary"/>
          <x15:modelTable id="Campaign_Metadata" name="Campaign_Metadata" connection="WorksheetConnection_Project Excel.xlsx!Campaign_Metadata"/>
          <x15:modelTable id="Table8" name="Table8" connection="WorksheetConnection_Project Excel.xlsx!Table8"/>
        </x15:modelTables>
        <x15:modelRelationships>
          <x15:modelRelationship fromTable="Posts" fromColumn="Campaign_Name" toTable="Campaign_Metadata" toColumn="Campaign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3" l="1"/>
  <c r="K6" i="13"/>
  <c r="K7" i="13"/>
  <c r="K8" i="13"/>
  <c r="H5" i="13"/>
  <c r="G5" i="13"/>
  <c r="D5" i="13"/>
  <c r="H8" i="13"/>
  <c r="G8" i="13"/>
  <c r="C8" i="14" l="1"/>
  <c r="B8" i="14"/>
  <c r="B6" i="14"/>
  <c r="B5" i="14"/>
  <c r="B7" i="14"/>
  <c r="D9" i="15"/>
  <c r="D8" i="15"/>
  <c r="D7" i="15"/>
  <c r="D6" i="15"/>
  <c r="E6" i="13"/>
  <c r="H6" i="13" s="1"/>
  <c r="J6" i="13" s="1"/>
  <c r="E7" i="13"/>
  <c r="H7" i="13" s="1"/>
  <c r="J7" i="13" s="1"/>
  <c r="E5" i="13"/>
  <c r="J5" i="13" s="1"/>
  <c r="E8" i="13"/>
  <c r="J8" i="13" s="1"/>
  <c r="C5" i="14"/>
  <c r="C6" i="14"/>
  <c r="C7" i="14"/>
  <c r="G6" i="13"/>
  <c r="G7" i="13"/>
  <c r="I7" i="13" s="1"/>
  <c r="I5" i="13"/>
  <c r="D6" i="13"/>
  <c r="D7" i="13"/>
  <c r="D8" i="13"/>
  <c r="F2" i="3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D6" i="14" l="1"/>
  <c r="D7" i="14"/>
  <c r="D5" i="14"/>
  <c r="D8" i="14"/>
  <c r="I6" i="13"/>
  <c r="I8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D6A13-CAA2-48AC-9A3B-0F88A7B5EB6F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E67DFBD9-4103-4E8F-A3E2-9DE0E504BA7D}" keepAlive="1" name="Query - Campaign Metadata (2)" description="Connection to the 'Campaign Metadata (2)' query in the workbook." type="5" refreshedVersion="7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1360C52B-B643-4786-A4C7-1620B9FF3582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4" xr16:uid="{81E785C2-6976-4AAD-BE9F-E03663F7B656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5" xr16:uid="{0FB68FDE-5FBB-42F8-895D-DE37D375FD32}" keepAlive="1" name="Query - Posts (2)" description="Connection to the 'Posts (2)' query in the workbook." type="5" refreshedVersion="7" background="1" saveData="1">
    <dbPr connection="Provider=Microsoft.Mashup.OleDb.1;Data Source=$Workbook$;Location=&quot;Posts (2)&quot;;Extended Properties=&quot;&quot;" command="SELECT * FROM [Posts (2)]"/>
  </connection>
  <connection id="6" xr16:uid="{491A15F0-2F71-4B9C-9C8C-57AC6AEF60F8}" keepAlive="1" name="Query - Posts (3)" description="Connection to the 'Posts (3)' query in the workbook." type="5" refreshedVersion="7" background="1" saveData="1">
    <dbPr connection="Provider=Microsoft.Mashup.OleDb.1;Data Source=$Workbook$;Location=&quot;Posts (3)&quot;;Extended Properties=&quot;&quot;" command="SELECT * FROM [Posts (3)]"/>
  </connection>
  <connection id="7" xr16:uid="{EFC9D6B5-8402-47F7-9DF0-BADFA1C111A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2465ACC1-0DDF-42EB-8553-355CE74A5EAD}" name="WorksheetConnection_Project Excel.xlsx!Campaign_Metadata" type="102" refreshedVersion="7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ProjectExcel.xlsxCampaign_Metadata1"/>
        </x15:connection>
      </ext>
    </extLst>
  </connection>
  <connection id="9" xr16:uid="{62F161FA-7069-4871-92AD-4CCDBE1C590B}" name="WorksheetConnection_Project Excel.xlsx!Engagement_Summary" type="102" refreshedVersion="7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ProjectExcel.xlsxEngagement_Summary1"/>
        </x15:connection>
      </ext>
    </extLst>
  </connection>
  <connection id="10" xr16:uid="{425C8205-C504-49D8-9F21-71084F83F785}" name="WorksheetConnection_Project Excel.xlsx!Posts" type="102" refreshedVersion="7" minRefreshableVersion="5">
    <extLst>
      <ext xmlns:x15="http://schemas.microsoft.com/office/spreadsheetml/2010/11/main" uri="{DE250136-89BD-433C-8126-D09CA5730AF9}">
        <x15:connection id="Posts">
          <x15:rangePr sourceName="_xlcn.WorksheetConnection_ProjectExcel.xlsxPosts1"/>
        </x15:connection>
      </ext>
    </extLst>
  </connection>
  <connection id="11" xr16:uid="{8D1A6AC3-D907-4798-BFDC-8D3527E5379B}" name="WorksheetConnection_Project Excel.xlsx!Table8" type="102" refreshedVersion="7" minRefreshableVersion="5">
    <extLst>
      <ext xmlns:x15="http://schemas.microsoft.com/office/spreadsheetml/2010/11/main" uri="{DE250136-89BD-433C-8126-D09CA5730AF9}">
        <x15:connection id="Table8">
          <x15:rangePr sourceName="_xlcn.WorksheetConnection_ProjectExcel.xlsxTable81"/>
        </x15:connection>
      </ext>
    </extLst>
  </connection>
</connections>
</file>

<file path=xl/sharedStrings.xml><?xml version="1.0" encoding="utf-8"?>
<sst xmlns="http://schemas.openxmlformats.org/spreadsheetml/2006/main" count="5199" uniqueCount="390">
  <si>
    <t>Campaign_Name</t>
  </si>
  <si>
    <t>Start_Date</t>
  </si>
  <si>
    <t>End_Date</t>
  </si>
  <si>
    <t>Objective</t>
  </si>
  <si>
    <t>Total_Budget</t>
  </si>
  <si>
    <t>Target_Platforms_1</t>
  </si>
  <si>
    <t>Target_Platforms_2</t>
  </si>
  <si>
    <t>Primary_Hashtags_1</t>
  </si>
  <si>
    <t>Primary_Hashtags_2</t>
  </si>
  <si>
    <t>SummerBeats</t>
  </si>
  <si>
    <t>Brand Awareness</t>
  </si>
  <si>
    <t>Instagram</t>
  </si>
  <si>
    <t>YouTube</t>
  </si>
  <si>
    <t>#SpotifyWrapped</t>
  </si>
  <si>
    <t>#MusicForEveryone</t>
  </si>
  <si>
    <t>Wrapped2024</t>
  </si>
  <si>
    <t>Engagement</t>
  </si>
  <si>
    <t>Twitter</t>
  </si>
  <si>
    <t>#NowPlaying</t>
  </si>
  <si>
    <t>ChillVibes</t>
  </si>
  <si>
    <t>Product Launch</t>
  </si>
  <si>
    <t>#ChillVibes</t>
  </si>
  <si>
    <t>#SoundtrackOfLife</t>
  </si>
  <si>
    <t>IndieWave</t>
  </si>
  <si>
    <t>Traffic</t>
  </si>
  <si>
    <t>Facebook</t>
  </si>
  <si>
    <t>#DiscoverWeekly</t>
  </si>
  <si>
    <t>#IndieWave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</si>
  <si>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</si>
  <si>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</si>
  <si>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</si>
  <si>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</si>
  <si>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</si>
  <si>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</si>
  <si>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</si>
  <si>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</si>
  <si>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</si>
  <si>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</si>
  <si>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</si>
  <si>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</si>
  <si>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</si>
  <si>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</si>
  <si>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</si>
  <si>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</si>
  <si>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</si>
  <si>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Used_1</t>
  </si>
  <si>
    <t>Hashtags Used_2</t>
  </si>
  <si>
    <t>SP001</t>
  </si>
  <si>
    <t>Text</t>
  </si>
  <si>
    <t>Discover fresh beats on Spotify!</t>
  </si>
  <si>
    <t>SP002</t>
  </si>
  <si>
    <t>Explore the latest podcasts now.</t>
  </si>
  <si>
    <t>SP003</t>
  </si>
  <si>
    <t>Story</t>
  </si>
  <si>
    <t>New music just dropped. Hit play!</t>
  </si>
  <si>
    <t>SP004</t>
  </si>
  <si>
    <t>Wrapped is here! Relive your top tracks ðŸŽ§</t>
  </si>
  <si>
    <t>SP005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</si>
  <si>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</si>
  <si>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</si>
  <si>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</si>
  <si>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</si>
  <si>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</si>
  <si>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</si>
  <si>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</si>
  <si>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</si>
  <si>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</si>
  <si>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</si>
  <si>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</si>
  <si>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</si>
  <si>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</si>
  <si>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</si>
  <si>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</si>
  <si>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</si>
  <si>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</si>
  <si>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</si>
  <si>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</si>
  <si>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</si>
  <si>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</si>
  <si>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</si>
  <si>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</si>
  <si>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</si>
  <si>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</si>
  <si>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</si>
  <si>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</si>
  <si>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</si>
  <si>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</si>
  <si>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</si>
  <si>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</si>
  <si>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</si>
  <si>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</si>
  <si>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</si>
  <si>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</si>
  <si>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</si>
  <si>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</si>
  <si>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</si>
  <si>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</si>
  <si>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</si>
  <si>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</si>
  <si>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</si>
  <si>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</si>
  <si>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</si>
  <si>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</si>
  <si>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</si>
  <si>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</si>
  <si>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</si>
  <si>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</si>
  <si>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</si>
  <si>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</si>
  <si>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</si>
  <si>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</si>
  <si>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</si>
  <si>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</si>
  <si>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</si>
  <si>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</si>
  <si>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</si>
  <si>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</si>
  <si>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</si>
  <si>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</si>
  <si>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</si>
  <si>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</si>
  <si>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</si>
  <si>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</si>
  <si>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</si>
  <si>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</si>
  <si>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</si>
  <si>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</si>
  <si>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</si>
  <si>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</si>
  <si>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</si>
  <si>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</si>
  <si>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</si>
  <si>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</si>
  <si>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</si>
  <si>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</si>
  <si>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</si>
  <si>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</si>
  <si>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</si>
  <si>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</si>
  <si>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</si>
  <si>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</si>
  <si>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</si>
  <si>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</si>
  <si>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</si>
  <si>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</si>
  <si>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</si>
  <si>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</si>
  <si>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</si>
  <si>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</si>
  <si>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</si>
  <si>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</si>
  <si>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</si>
  <si>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</si>
  <si>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</si>
  <si>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</si>
  <si>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</si>
  <si>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</si>
  <si>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</si>
  <si>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</si>
  <si>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</si>
  <si>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</si>
  <si>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</si>
  <si>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</si>
  <si>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</si>
  <si>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</si>
  <si>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</si>
  <si>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</si>
  <si>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</si>
  <si>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</si>
  <si>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</si>
  <si>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</si>
  <si>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</si>
  <si>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</si>
  <si>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</si>
  <si>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</si>
  <si>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</si>
  <si>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</si>
  <si>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</si>
  <si>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</si>
  <si>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</si>
  <si>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</si>
  <si>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</si>
  <si>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</si>
  <si>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</si>
  <si>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</si>
  <si>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</si>
  <si>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</si>
  <si>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</si>
  <si>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</si>
  <si>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</si>
  <si>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</si>
  <si>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</si>
  <si>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</si>
  <si>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</si>
  <si>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</si>
  <si>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</si>
  <si>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</si>
  <si>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</si>
  <si>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</si>
  <si>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</si>
  <si>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</si>
  <si>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</si>
  <si>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</si>
  <si>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</si>
  <si>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</si>
  <si>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</si>
  <si>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</si>
  <si>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</si>
  <si>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</si>
  <si>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</si>
  <si>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</si>
  <si>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</si>
  <si>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</si>
  <si>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</si>
  <si>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</si>
  <si>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</si>
  <si>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</si>
  <si>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</si>
  <si>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</si>
  <si>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</si>
  <si>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</si>
  <si>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</si>
  <si>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</si>
  <si>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</si>
  <si>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</si>
  <si>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</si>
  <si>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</si>
  <si>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</si>
  <si>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</si>
  <si>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</si>
  <si>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</si>
  <si>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</si>
  <si>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</si>
  <si>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</si>
  <si>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</si>
  <si>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</si>
  <si>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</si>
  <si>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</si>
  <si>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</si>
  <si>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</si>
  <si>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</si>
  <si>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</si>
  <si>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</si>
  <si>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</si>
  <si>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</si>
  <si>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</si>
  <si>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</si>
  <si>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</si>
  <si>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</si>
  <si>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</si>
  <si>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</si>
  <si>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</si>
  <si>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</si>
  <si>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</si>
  <si>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</si>
  <si>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</si>
  <si>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</si>
  <si>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</si>
  <si>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</si>
  <si>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</si>
  <si>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</si>
  <si>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</si>
  <si>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</si>
  <si>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</si>
  <si>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</si>
  <si>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</si>
  <si>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</si>
  <si>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</si>
  <si>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</si>
  <si>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</si>
  <si>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</si>
  <si>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</si>
  <si>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</si>
  <si>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</si>
  <si>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</si>
  <si>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</si>
  <si>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</si>
  <si>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</si>
  <si>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</si>
  <si>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</si>
  <si>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</si>
  <si>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</si>
  <si>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</si>
  <si>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</si>
  <si>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</si>
  <si>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</si>
  <si>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</si>
  <si>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</si>
  <si>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</si>
  <si>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</si>
  <si>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</si>
  <si>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</si>
  <si>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</si>
  <si>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</si>
  <si>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</si>
  <si>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</si>
  <si>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</si>
  <si>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</si>
  <si>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</si>
  <si>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</si>
  <si>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</si>
  <si>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</si>
  <si>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</si>
  <si>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</si>
  <si>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</si>
  <si>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</si>
  <si>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</si>
  <si>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</si>
  <si>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</si>
  <si>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</si>
  <si>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</si>
  <si>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</si>
  <si>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</si>
  <si>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</si>
  <si>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</si>
  <si>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</si>
  <si>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</si>
  <si>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</si>
  <si>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</si>
  <si>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</si>
  <si>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</si>
  <si>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</si>
  <si>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</si>
  <si>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</si>
  <si>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</si>
  <si>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</si>
  <si>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</si>
  <si>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</si>
  <si>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</si>
  <si>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</si>
  <si>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</si>
  <si>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</si>
  <si>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</si>
  <si>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</si>
  <si>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</si>
  <si>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</si>
  <si>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</si>
  <si>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</si>
  <si>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</si>
  <si>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</si>
  <si>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</si>
  <si>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</si>
  <si>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</si>
  <si>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</si>
  <si>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</si>
  <si>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</si>
  <si>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</si>
  <si>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</si>
  <si>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</si>
  <si>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</si>
  <si>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</si>
  <si>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</si>
  <si>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</si>
  <si>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</si>
  <si>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</si>
  <si>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</si>
  <si>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</si>
  <si>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</si>
  <si>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</si>
  <si>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</si>
  <si>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Engagement Rate</t>
  </si>
  <si>
    <t>Row Labels</t>
  </si>
  <si>
    <t>Sum of Likes</t>
  </si>
  <si>
    <t>Hashtag</t>
  </si>
  <si>
    <t>Average of Clicks</t>
  </si>
  <si>
    <t>growth Rate</t>
  </si>
  <si>
    <t>Sum of Impressions</t>
  </si>
  <si>
    <t>Sum of Clicks</t>
  </si>
  <si>
    <t>Average of Impressions</t>
  </si>
  <si>
    <t>Average of Likes</t>
  </si>
  <si>
    <t>Total Enagagement</t>
  </si>
  <si>
    <t>Campaign Name</t>
  </si>
  <si>
    <t>Start Date</t>
  </si>
  <si>
    <t>End Date</t>
  </si>
  <si>
    <t>Campaign Days</t>
  </si>
  <si>
    <t xml:space="preserve">Engagement During </t>
  </si>
  <si>
    <t>Engagement Uplift%</t>
  </si>
  <si>
    <t>Campaign Ad spend</t>
  </si>
  <si>
    <t>Total Engagement</t>
  </si>
  <si>
    <t>Net Followers</t>
  </si>
  <si>
    <t>5.1.2 Engagement Uplift During VS Before Campaign</t>
  </si>
  <si>
    <t>5.1.1  Total &amp; Average Impressions, Likes, Clicks Per Campaign</t>
  </si>
  <si>
    <t>5.2.1 Campaign Roi Engagement VS Ad Spend</t>
  </si>
  <si>
    <t>5.2.2 Campaign With Strongest Follower</t>
  </si>
  <si>
    <t>Pre_Campaign End</t>
  </si>
  <si>
    <t>Pre_Campaign Start</t>
  </si>
  <si>
    <t>Engagement Before</t>
  </si>
  <si>
    <t>Daily engagement During</t>
  </si>
  <si>
    <t>Daily engagement Before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</si>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</sst>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AFEAFF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rgb="FF81DEFF"/>
        <bgColor rgb="FF000000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9" fontId="0" fillId="0" borderId="0" xfId="1" applyFont="1" applyAlignment="1">
      <alignment horizontal="right"/>
    </xf>
    <xf numFmtId="0" fontId="0" fillId="0" borderId="0" xfId="0" applyFill="1"/>
    <xf numFmtId="0" fontId="0" fillId="0" borderId="3" xfId="0" applyNumberFormat="1" applyFont="1" applyFill="1" applyBorder="1" applyAlignment="1">
      <alignment horizontal="left"/>
    </xf>
    <xf numFmtId="0" fontId="0" fillId="3" borderId="1" xfId="0" applyNumberFormat="1" applyFont="1" applyFill="1" applyBorder="1" applyAlignment="1">
      <alignment horizontal="left"/>
    </xf>
    <xf numFmtId="14" fontId="0" fillId="3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/>
    <xf numFmtId="0" fontId="0" fillId="3" borderId="4" xfId="0" applyNumberFormat="1" applyFont="1" applyFill="1" applyBorder="1" applyAlignment="1">
      <alignment horizontal="left"/>
    </xf>
    <xf numFmtId="2" fontId="0" fillId="3" borderId="5" xfId="0" applyNumberFormat="1" applyFill="1" applyBorder="1"/>
    <xf numFmtId="0" fontId="0" fillId="3" borderId="4" xfId="0" applyFill="1" applyBorder="1" applyAlignment="1">
      <alignment horizontal="left"/>
    </xf>
    <xf numFmtId="1" fontId="0" fillId="3" borderId="10" xfId="0" applyNumberFormat="1" applyFill="1" applyBorder="1"/>
    <xf numFmtId="2" fontId="0" fillId="3" borderId="11" xfId="0" applyNumberForma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0" fontId="0" fillId="2" borderId="0" xfId="1" applyNumberFormat="1" applyFont="1" applyFill="1" applyAlignment="1">
      <alignment horizontal="right"/>
    </xf>
    <xf numFmtId="10" fontId="3" fillId="2" borderId="0" xfId="1" applyNumberFormat="1" applyFont="1" applyFill="1" applyAlignment="1">
      <alignment horizontal="right"/>
    </xf>
    <xf numFmtId="10" fontId="0" fillId="0" borderId="0" xfId="1" applyNumberFormat="1" applyFont="1" applyFill="1" applyAlignment="1">
      <alignment horizontal="right"/>
    </xf>
    <xf numFmtId="0" fontId="0" fillId="0" borderId="0" xfId="0" applyFill="1" applyBorder="1"/>
    <xf numFmtId="0" fontId="0" fillId="0" borderId="0" xfId="0" applyNumberFormat="1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/>
    <xf numFmtId="1" fontId="0" fillId="0" borderId="0" xfId="0" applyNumberFormat="1" applyFill="1" applyBorder="1"/>
    <xf numFmtId="164" fontId="0" fillId="0" borderId="0" xfId="1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1" applyNumberFormat="1" applyFont="1" applyFill="1" applyBorder="1"/>
    <xf numFmtId="10" fontId="0" fillId="0" borderId="0" xfId="1" applyNumberFormat="1" applyFont="1" applyFill="1" applyBorder="1"/>
    <xf numFmtId="10" fontId="0" fillId="0" borderId="0" xfId="0" applyNumberFormat="1" applyFill="1" applyBorder="1"/>
    <xf numFmtId="0" fontId="0" fillId="0" borderId="0" xfId="0" applyFill="1" applyBorder="1" applyAlignment="1"/>
    <xf numFmtId="0" fontId="2" fillId="0" borderId="0" xfId="0" applyFont="1" applyFill="1" applyBorder="1"/>
    <xf numFmtId="2" fontId="0" fillId="0" borderId="0" xfId="0" applyNumberFormat="1" applyFill="1" applyBorder="1"/>
    <xf numFmtId="0" fontId="0" fillId="0" borderId="12" xfId="0" applyNumberFormat="1" applyFont="1" applyFill="1" applyBorder="1" applyAlignment="1">
      <alignment horizontal="left"/>
    </xf>
    <xf numFmtId="14" fontId="0" fillId="0" borderId="0" xfId="0" applyNumberFormat="1"/>
    <xf numFmtId="0" fontId="0" fillId="4" borderId="1" xfId="0" applyFill="1" applyBorder="1"/>
    <xf numFmtId="14" fontId="5" fillId="5" borderId="6" xfId="0" applyNumberFormat="1" applyFont="1" applyFill="1" applyBorder="1"/>
    <xf numFmtId="0" fontId="5" fillId="5" borderId="6" xfId="0" applyFont="1" applyFill="1" applyBorder="1"/>
    <xf numFmtId="0" fontId="5" fillId="5" borderId="6" xfId="0" applyNumberFormat="1" applyFont="1" applyFill="1" applyBorder="1"/>
    <xf numFmtId="0" fontId="2" fillId="4" borderId="8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3" borderId="9" xfId="0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10" fontId="5" fillId="5" borderId="5" xfId="0" applyNumberFormat="1" applyFont="1" applyFill="1" applyBorder="1"/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left"/>
    </xf>
    <xf numFmtId="14" fontId="5" fillId="5" borderId="13" xfId="0" applyNumberFormat="1" applyFont="1" applyFill="1" applyBorder="1"/>
    <xf numFmtId="0" fontId="5" fillId="5" borderId="13" xfId="0" applyFont="1" applyFill="1" applyBorder="1"/>
    <xf numFmtId="0" fontId="5" fillId="5" borderId="13" xfId="0" applyNumberFormat="1" applyFont="1" applyFill="1" applyBorder="1"/>
    <xf numFmtId="0" fontId="0" fillId="4" borderId="10" xfId="0" applyFill="1" applyBorder="1"/>
    <xf numFmtId="10" fontId="5" fillId="5" borderId="11" xfId="0" applyNumberFormat="1" applyFont="1" applyFill="1" applyBorder="1"/>
    <xf numFmtId="0" fontId="7" fillId="4" borderId="7" xfId="0" applyFont="1" applyFill="1" applyBorder="1"/>
  </cellXfs>
  <cellStyles count="2">
    <cellStyle name="Normal" xfId="0" builtinId="0"/>
    <cellStyle name="Percent" xfId="1" builtinId="5"/>
  </cellStyles>
  <dxfs count="1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4" formatCode="0.00%"/>
      <fill>
        <patternFill patternType="solid">
          <fgColor rgb="FF000000"/>
          <bgColor rgb="FF81DEFF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81DE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81DE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rgb="FF000000"/>
          <bgColor rgb="FF81DE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rgb="FF000000"/>
          <bgColor rgb="FF81DE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fill>
        <patternFill patternType="solid">
          <fgColor rgb="FF000000"/>
          <bgColor rgb="FF81DE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fill>
        <patternFill patternType="solid">
          <fgColor rgb="FF000000"/>
          <bgColor rgb="FF81DE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81DE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fill>
        <patternFill patternType="solid">
          <fgColor rgb="FF000000"/>
          <bgColor rgb="FF81DE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fill>
        <patternFill patternType="solid">
          <fgColor rgb="FF000000"/>
          <bgColor rgb="FF81DE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81DE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rgb="FFAFEA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rgb="FFAFEAFF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rgb="FFAFEA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AFEAFF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AFEAFF"/>
        </patternFill>
      </fill>
    </dxf>
    <dxf>
      <border outline="0">
        <bottom style="thin">
          <color indexed="64"/>
        </bottom>
      </border>
    </dxf>
    <dxf>
      <font>
        <b/>
      </font>
      <fill>
        <patternFill patternType="solid">
          <fgColor indexed="64"/>
          <bgColor rgb="FF81DE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b/>
      </font>
    </dxf>
    <dxf>
      <fill>
        <patternFill>
          <bgColor rgb="FF81DEFF"/>
        </patternFill>
      </fill>
    </dxf>
    <dxf>
      <fill>
        <patternFill>
          <bgColor rgb="FF81DEFF"/>
        </patternFill>
      </fill>
    </dxf>
    <dxf>
      <fill>
        <patternFill>
          <bgColor rgb="FFAFEAFF"/>
        </patternFill>
      </fill>
    </dxf>
    <dxf>
      <fill>
        <patternFill>
          <bgColor rgb="FFAFEAFF"/>
        </patternFill>
      </fill>
    </dxf>
    <dxf>
      <fill>
        <patternFill>
          <bgColor rgb="FFAFEAFF"/>
        </patternFill>
      </fill>
    </dxf>
    <dxf>
      <fill>
        <patternFill patternType="solid">
          <bgColor rgb="FF81DEFF"/>
        </patternFill>
      </fill>
    </dxf>
    <dxf>
      <fill>
        <patternFill patternType="solid">
          <bgColor rgb="FF81DEFF"/>
        </patternFill>
      </fill>
    </dxf>
    <dxf>
      <fill>
        <patternFill patternType="solid">
          <bgColor rgb="FF81DEFF"/>
        </patternFill>
      </fill>
    </dxf>
    <dxf>
      <fill>
        <patternFill patternType="solid">
          <bgColor rgb="FF81DEFF"/>
        </patternFill>
      </fill>
    </dxf>
    <dxf>
      <fill>
        <patternFill patternType="solid">
          <bgColor rgb="FF81DEFF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4" tint="0.3999755851924192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8A7142E9-65BA-4AEE-B855-A851A80D06BB}"/>
  </tableStyles>
  <colors>
    <mruColors>
      <color rgb="FF52DDF0"/>
      <color rgb="FF81DEFF"/>
      <color rgb="FFAFEA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12</xdr:row>
      <xdr:rowOff>171450</xdr:rowOff>
    </xdr:from>
    <xdr:ext cx="5048250" cy="65594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742867-7825-45E1-9FB3-FADCF6ED295B}"/>
            </a:ext>
          </a:extLst>
        </xdr:cNvPr>
        <xdr:cNvSpPr txBox="1"/>
      </xdr:nvSpPr>
      <xdr:spPr>
        <a:xfrm>
          <a:off x="923925" y="2457450"/>
          <a:ext cx="5048250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Conclusion:</a:t>
          </a:r>
        </a:p>
        <a:p>
          <a:r>
            <a:rPr lang="en-IN" sz="1200"/>
            <a:t>this table shows</a:t>
          </a:r>
          <a:r>
            <a:rPr lang="en-IN" sz="1200" baseline="0"/>
            <a:t> </a:t>
          </a:r>
          <a:r>
            <a:rPr lang="en-IN" sz="1200"/>
            <a:t>we calculated</a:t>
          </a:r>
          <a:r>
            <a:rPr lang="en-IN" sz="1200" baseline="0"/>
            <a:t> the sum and average values of  like clicks and impression, as respective there campaign name</a:t>
          </a:r>
          <a:endParaRPr lang="en-IN" sz="1200"/>
        </a:p>
      </xdr:txBody>
    </xdr:sp>
    <xdr:clientData/>
  </xdr:oneCellAnchor>
  <xdr:oneCellAnchor>
    <xdr:from>
      <xdr:col>1</xdr:col>
      <xdr:colOff>19050</xdr:colOff>
      <xdr:row>10</xdr:row>
      <xdr:rowOff>9525</xdr:rowOff>
    </xdr:from>
    <xdr:ext cx="5038725" cy="46807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023BC4-C3A6-4A54-884B-29BD4CC47C90}"/>
            </a:ext>
          </a:extLst>
        </xdr:cNvPr>
        <xdr:cNvSpPr txBox="1"/>
      </xdr:nvSpPr>
      <xdr:spPr>
        <a:xfrm>
          <a:off x="914400" y="1914525"/>
          <a:ext cx="5038725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Total &amp; average impressions, likes, clicks per campaign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1154432</xdr:colOff>
      <xdr:row>22</xdr:row>
      <xdr:rowOff>144780</xdr:rowOff>
    </xdr:from>
    <xdr:to>
      <xdr:col>8</xdr:col>
      <xdr:colOff>9526</xdr:colOff>
      <xdr:row>25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35654F-F3C2-44CF-93FF-AC371EC0705E}"/>
            </a:ext>
          </a:extLst>
        </xdr:cNvPr>
        <xdr:cNvSpPr txBox="1"/>
      </xdr:nvSpPr>
      <xdr:spPr>
        <a:xfrm>
          <a:off x="1154432" y="4335780"/>
          <a:ext cx="8075294" cy="4933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Conclusion:</a:t>
          </a:r>
          <a:br>
            <a:rPr lang="en-IN" sz="1200"/>
          </a:br>
          <a:r>
            <a:rPr lang="en-IN" sz="1200"/>
            <a:t>around</a:t>
          </a:r>
          <a:r>
            <a:rPr lang="en-IN" sz="1200" baseline="0"/>
            <a:t> 90% engagement has been uplifted in the campaign name indiewave</a:t>
          </a:r>
          <a:endParaRPr lang="en-IN" sz="1200"/>
        </a:p>
      </xdr:txBody>
    </xdr:sp>
    <xdr:clientData/>
  </xdr:twoCellAnchor>
  <xdr:oneCellAnchor>
    <xdr:from>
      <xdr:col>1</xdr:col>
      <xdr:colOff>19050</xdr:colOff>
      <xdr:row>11</xdr:row>
      <xdr:rowOff>47625</xdr:rowOff>
    </xdr:from>
    <xdr:ext cx="8039100" cy="46807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73E377-1400-453D-BC9D-131B30FBF27E}"/>
            </a:ext>
          </a:extLst>
        </xdr:cNvPr>
        <xdr:cNvSpPr txBox="1"/>
      </xdr:nvSpPr>
      <xdr:spPr>
        <a:xfrm>
          <a:off x="1190625" y="2143125"/>
          <a:ext cx="8039100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Engagement uplift during vs. before campaign</a:t>
          </a:r>
        </a:p>
      </xdr:txBody>
    </xdr:sp>
    <xdr:clientData/>
  </xdr:oneCellAnchor>
  <xdr:oneCellAnchor>
    <xdr:from>
      <xdr:col>1</xdr:col>
      <xdr:colOff>19051</xdr:colOff>
      <xdr:row>14</xdr:row>
      <xdr:rowOff>180975</xdr:rowOff>
    </xdr:from>
    <xdr:ext cx="8020050" cy="140743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3B16FA-F279-4F63-BBA5-236FAD595978}"/>
            </a:ext>
          </a:extLst>
        </xdr:cNvPr>
        <xdr:cNvSpPr txBox="1"/>
      </xdr:nvSpPr>
      <xdr:spPr>
        <a:xfrm>
          <a:off x="1190626" y="2847975"/>
          <a:ext cx="8020050" cy="14074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Formula Used</a:t>
          </a:r>
          <a:r>
            <a:rPr lang="en-IN" sz="1200"/>
            <a:t>:</a:t>
          </a:r>
          <a:br>
            <a:rPr lang="en-IN" sz="1200"/>
          </a:br>
          <a:r>
            <a:rPr lang="en-IN" sz="1200"/>
            <a:t>Campaign days =(C5-B5)+1</a:t>
          </a:r>
        </a:p>
        <a:p>
          <a:r>
            <a:rPr lang="en-IN" sz="1200"/>
            <a:t>Engagement During =SUMIFS(Posts!P:P,Posts!O:O,'5.1.2'!A5,Posts!C:C,"&gt;="&amp;'5.1.2'!B5,Posts!C:C,"&lt;="&amp;'5.1.2'!C5)</a:t>
          </a:r>
          <a:br>
            <a:rPr lang="en-IN" sz="1200"/>
          </a:br>
          <a:r>
            <a:rPr lang="en-IN" sz="1200"/>
            <a:t>Engagement Before </a:t>
          </a:r>
        </a:p>
        <a:p>
          <a:r>
            <a:rPr lang="en-IN" sz="1200"/>
            <a:t>=SUMIFS(Posts!$P:$P,Posts!$O:$O,'5.1.2'!$A5,Posts!$C:$C,"&gt;="&amp;E5,Posts!$C:$C,"&lt;="&amp;'5.1.2'!F5)</a:t>
          </a:r>
          <a:br>
            <a:rPr lang="en-IN" sz="1200"/>
          </a:br>
          <a:r>
            <a:rPr lang="en-IN" sz="1200"/>
            <a:t>Engagement Uplift</a:t>
          </a:r>
        </a:p>
        <a:p>
          <a:r>
            <a:rPr lang="en-IN" sz="1200"/>
            <a:t>=([@[Daily engagement During]]-[@[Daily engagement Before]])/[@[Daily engagement During]]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</xdr:colOff>
      <xdr:row>24</xdr:row>
      <xdr:rowOff>28575</xdr:rowOff>
    </xdr:from>
    <xdr:ext cx="8582026" cy="6559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769F76-22DA-4898-BD8A-63DA29506FA4}"/>
            </a:ext>
          </a:extLst>
        </xdr:cNvPr>
        <xdr:cNvSpPr txBox="1"/>
      </xdr:nvSpPr>
      <xdr:spPr>
        <a:xfrm>
          <a:off x="1352549" y="4600575"/>
          <a:ext cx="8582026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Conclusion:</a:t>
          </a:r>
        </a:p>
        <a:p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ChillVibes and IndieWave campaign is runnin better we are getting best ROI, this shows efficient ad spend, but for SummerBeats and Wrapped2024 we got lower ROI</a:t>
          </a:r>
          <a:endParaRPr lang="en-IN" sz="1200"/>
        </a:p>
      </xdr:txBody>
    </xdr:sp>
    <xdr:clientData/>
  </xdr:oneCellAnchor>
  <xdr:oneCellAnchor>
    <xdr:from>
      <xdr:col>1</xdr:col>
      <xdr:colOff>0</xdr:colOff>
      <xdr:row>11</xdr:row>
      <xdr:rowOff>0</xdr:rowOff>
    </xdr:from>
    <xdr:ext cx="8562975" cy="46807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69C3E9-293B-405D-9E37-B29205C1CB38}"/>
            </a:ext>
          </a:extLst>
        </xdr:cNvPr>
        <xdr:cNvSpPr txBox="1"/>
      </xdr:nvSpPr>
      <xdr:spPr>
        <a:xfrm>
          <a:off x="1343025" y="2095500"/>
          <a:ext cx="8562975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 </a:t>
          </a:r>
        </a:p>
        <a:p>
          <a:r>
            <a:rPr lang="en-IN" sz="1200"/>
            <a:t>Campaign with highest RO</a:t>
          </a:r>
        </a:p>
      </xdr:txBody>
    </xdr:sp>
    <xdr:clientData/>
  </xdr:oneCellAnchor>
  <xdr:oneCellAnchor>
    <xdr:from>
      <xdr:col>0</xdr:col>
      <xdr:colOff>1343024</xdr:colOff>
      <xdr:row>14</xdr:row>
      <xdr:rowOff>9525</xdr:rowOff>
    </xdr:from>
    <xdr:ext cx="8562976" cy="17831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4B36D2-1E5A-4DAC-BF28-37AD89C0A292}"/>
            </a:ext>
          </a:extLst>
        </xdr:cNvPr>
        <xdr:cNvSpPr txBox="1"/>
      </xdr:nvSpPr>
      <xdr:spPr>
        <a:xfrm>
          <a:off x="1343024" y="2676525"/>
          <a:ext cx="8562976" cy="17831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Formula</a:t>
          </a:r>
          <a:r>
            <a:rPr lang="en-IN" sz="1200" b="1" baseline="0"/>
            <a:t> used:</a:t>
          </a:r>
        </a:p>
        <a:p>
          <a:r>
            <a:rPr lang="en-IN" sz="1200" baseline="0"/>
            <a:t> ROI = Ad spend/ Totel Engagement</a:t>
          </a:r>
        </a:p>
        <a:p>
          <a:endParaRPr lang="en-IN" sz="1200" baseline="0"/>
        </a:p>
        <a:p>
          <a:r>
            <a:rPr lang="en-IN" sz="1200" baseline="0"/>
            <a:t>Ad Spend = =SUMIFS('Engagement Summary'!I:I,'Engagement Summary'!B:B,"Twitter",'Engagement Summary'!A:A,"&gt;="&amp;'Campaign Metadata'!B3,'Engagement Summary'!A:A,"&lt;="&amp;'Campaign Metadata'!C3)+SUMIFS('Engagement Summary'!I:I,'Engagement Summary'!B:B,"YouTube",'Engagement Summary'!A:A,"&gt;="&amp;'Campaign Metadata'!B3,'Engagement Summary'!A:A,"&lt;="&amp;'Campaign Metadata'!C3)</a:t>
          </a:r>
        </a:p>
        <a:p>
          <a:endParaRPr lang="en-IN" sz="1200" baseline="0"/>
        </a:p>
        <a:p>
          <a:r>
            <a:rPr lang="en-IN" sz="1200" baseline="0"/>
            <a:t>Total Egagement= =SUMIFS(Posts[Total Enagagement],Posts[Campaign_Name],A5)</a:t>
          </a:r>
          <a:endParaRPr lang="en-IN" sz="12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609599</xdr:colOff>
      <xdr:row>10</xdr:row>
      <xdr:rowOff>133349</xdr:rowOff>
    </xdr:from>
    <xdr:ext cx="5819775" cy="46807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80A847-6C2B-42DD-97CE-7E1F100B0E72}"/>
            </a:ext>
          </a:extLst>
        </xdr:cNvPr>
        <xdr:cNvSpPr txBox="1"/>
      </xdr:nvSpPr>
      <xdr:spPr>
        <a:xfrm>
          <a:off x="4657724" y="2038349"/>
          <a:ext cx="5819775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Conclusion:</a:t>
          </a:r>
          <a:br>
            <a:rPr lang="en-IN" sz="1200"/>
          </a:br>
          <a:r>
            <a:rPr lang="en-IN" sz="1200"/>
            <a:t>Accross the various platfrom,</a:t>
          </a:r>
          <a:r>
            <a:rPr lang="en-IN" sz="1200" baseline="0"/>
            <a:t> summerbeats campaign has gained strongest follower </a:t>
          </a:r>
          <a:endParaRPr lang="en-IN" sz="12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5829300" cy="46807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9F822F-8F2A-48D2-8CD2-4E0D5F6EB6B8}"/>
            </a:ext>
          </a:extLst>
        </xdr:cNvPr>
        <xdr:cNvSpPr txBox="1"/>
      </xdr:nvSpPr>
      <xdr:spPr>
        <a:xfrm>
          <a:off x="4657725" y="571500"/>
          <a:ext cx="5829300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  <a:br>
            <a:rPr lang="en-IN" sz="1200"/>
          </a:br>
          <a:r>
            <a:rPr lang="en-IN" sz="1200"/>
            <a:t>Campaign with strongest follower or app download growth</a:t>
          </a:r>
        </a:p>
      </xdr:txBody>
    </xdr:sp>
    <xdr:clientData/>
  </xdr:oneCellAnchor>
  <xdr:oneCellAnchor>
    <xdr:from>
      <xdr:col>5</xdr:col>
      <xdr:colOff>9525</xdr:colOff>
      <xdr:row>6</xdr:row>
      <xdr:rowOff>9526</xdr:rowOff>
    </xdr:from>
    <xdr:ext cx="5810250" cy="7239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BB26A4-CCF3-4178-A1FA-B282D2E9D9CD}"/>
            </a:ext>
          </a:extLst>
        </xdr:cNvPr>
        <xdr:cNvSpPr txBox="1"/>
      </xdr:nvSpPr>
      <xdr:spPr>
        <a:xfrm>
          <a:off x="4667250" y="1152526"/>
          <a:ext cx="5810250" cy="7239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Steps Taken:</a:t>
          </a:r>
        </a:p>
        <a:p>
          <a:r>
            <a:rPr lang="en-IN" sz="1200"/>
            <a:t>For net follower created one new cloumn as Net followers,</a:t>
          </a:r>
          <a:r>
            <a:rPr lang="en-IN" sz="1200" baseline="0"/>
            <a:t> formula used</a:t>
          </a:r>
        </a:p>
        <a:p>
          <a:r>
            <a:rPr lang="en-IN" sz="1200"/>
            <a:t>=[@[New_Followers]]-[@Unfollows]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ronoa Zoro" refreshedDate="45907.921711226852" createdVersion="7" refreshedVersion="7" minRefreshableVersion="3" recordCount="300" xr:uid="{22B603BF-1E69-43F5-AF48-30269FA9D442}">
  <cacheSource type="worksheet">
    <worksheetSource name="Posts"/>
  </cacheSource>
  <cacheFields count="20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 count="235">
        <d v="2025-05-04T00:00:00"/>
        <d v="2025-02-01T00:00:00"/>
        <d v="2024-12-03T00:00:00"/>
        <d v="2024-04-06T00:00:00"/>
        <d v="2024-06-13T00:00:00"/>
        <d v="2024-12-19T00:00:00"/>
        <d v="2024-05-09T00:00:00"/>
        <d v="2025-06-15T00:00:00"/>
        <d v="2024-12-04T00:00:00"/>
        <d v="2024-03-06T00:00:00"/>
        <d v="2024-05-14T00:00:00"/>
        <d v="2025-06-18T00:00:00"/>
        <d v="2024-10-08T00:00:00"/>
        <d v="2024-05-06T00:00:00"/>
        <d v="2024-12-29T00:00:00"/>
        <d v="2024-06-10T00:00:00"/>
        <d v="2024-02-03T00:00:00"/>
        <d v="2024-06-15T00:00:00"/>
        <d v="2024-07-05T00:00:00"/>
        <d v="2024-11-07T00:00:00"/>
        <d v="2024-06-09T00:00:00"/>
        <d v="2024-10-18T00:00:00"/>
        <d v="2024-10-10T00:00:00"/>
        <d v="2025-05-14T00:00:00"/>
        <d v="2024-11-29T00:00:00"/>
        <d v="2024-03-05T00:00:00"/>
        <d v="2025-03-18T00:00:00"/>
        <d v="2025-04-26T00:00:00"/>
        <d v="2025-01-01T00:00:00"/>
        <d v="2024-05-07T00:00:00"/>
        <d v="2024-10-09T00:00:00"/>
        <d v="2025-01-09T00:00:00"/>
        <d v="2025-05-08T00:00:00"/>
        <d v="2024-05-04T00:00:00"/>
        <d v="2025-05-27T00:00:00"/>
        <d v="2024-09-10T00:00:00"/>
        <d v="2024-11-25T00:00:00"/>
        <d v="2025-06-10T00:00:00"/>
        <d v="2024-04-19T00:00:00"/>
        <d v="2025-01-26T00:00:00"/>
        <d v="2025-02-14T00:00:00"/>
        <d v="2024-09-06T00:00:00"/>
        <d v="2024-07-14T00:00:00"/>
        <d v="2024-02-12T00:00:00"/>
        <d v="2024-03-14T00:00:00"/>
        <d v="2025-02-05T00:00:00"/>
        <d v="2024-08-29T00:00:00"/>
        <d v="2025-04-22T00:00:00"/>
        <d v="2024-05-13T00:00:00"/>
        <d v="2024-09-04T00:00:00"/>
        <d v="2024-08-12T00:00:00"/>
        <d v="2025-03-06T00:00:00"/>
        <d v="2024-05-08T00:00:00"/>
        <d v="2025-02-19T00:00:00"/>
        <d v="2024-01-08T00:00:00"/>
        <d v="2024-07-17T00:00:00"/>
        <d v="2024-08-10T00:00:00"/>
        <d v="2024-04-16T00:00:00"/>
        <d v="2024-01-01T00:00:00"/>
        <d v="2024-11-03T00:00:00"/>
        <d v="2024-07-07T00:00:00"/>
        <d v="2025-01-22T00:00:00"/>
        <d v="2024-05-26T00:00:00"/>
        <d v="2025-04-16T00:00:00"/>
        <d v="2024-04-02T00:00:00"/>
        <d v="2024-03-28T00:00:00"/>
        <d v="2024-12-17T00:00:00"/>
        <d v="2025-01-05T00:00:00"/>
        <d v="2024-01-11T00:00:00"/>
        <d v="2024-10-11T00:00:00"/>
        <d v="2025-05-06T00:00:00"/>
        <d v="2024-05-19T00:00:00"/>
        <d v="2024-01-22T00:00:00"/>
        <d v="2025-05-28T00:00:00"/>
        <d v="2025-01-21T00:00:00"/>
        <d v="2024-01-13T00:00:00"/>
        <d v="2025-06-17T00:00:00"/>
        <d v="2025-03-07T00:00:00"/>
        <d v="2024-08-26T00:00:00"/>
        <d v="2025-01-03T00:00:00"/>
        <d v="2024-08-03T00:00:00"/>
        <d v="2024-08-18T00:00:00"/>
        <d v="2024-04-23T00:00:00"/>
        <d v="2025-02-17T00:00:00"/>
        <d v="2024-07-22T00:00:00"/>
        <d v="2025-04-27T00:00:00"/>
        <d v="2024-03-25T00:00:00"/>
        <d v="2024-02-29T00:00:00"/>
        <d v="2024-11-13T00:00:00"/>
        <d v="2024-03-22T00:00:00"/>
        <d v="2024-03-16T00:00:00"/>
        <d v="2024-01-26T00:00:00"/>
        <d v="2024-03-15T00:00:00"/>
        <d v="2024-10-15T00:00:00"/>
        <d v="2024-07-21T00:00:00"/>
        <d v="2024-10-12T00:00:00"/>
        <d v="2024-10-26T00:00:00"/>
        <d v="2024-02-14T00:00:00"/>
        <d v="2024-05-01T00:00:00"/>
        <d v="2024-09-18T00:00:00"/>
        <d v="2025-01-20T00:00:00"/>
        <d v="2025-01-13T00:00:00"/>
        <d v="2024-09-07T00:00:00"/>
        <d v="2024-11-21T00:00:00"/>
        <d v="2024-06-26T00:00:00"/>
        <d v="2024-07-20T00:00:00"/>
        <d v="2025-02-16T00:00:00"/>
        <d v="2024-09-09T00:00:00"/>
        <d v="2024-07-16T00:00:00"/>
        <d v="2025-04-15T00:00:00"/>
        <d v="2024-02-18T00:00:00"/>
        <d v="2024-05-16T00:00:00"/>
        <d v="2025-05-29T00:00:00"/>
        <d v="2025-01-17T00:00:00"/>
        <d v="2025-04-30T00:00:00"/>
        <d v="2024-02-24T00:00:00"/>
        <d v="2024-05-12T00:00:00"/>
        <d v="2024-11-06T00:00:00"/>
        <d v="2024-01-04T00:00:00"/>
        <d v="2024-01-28T00:00:00"/>
        <d v="2024-02-22T00:00:00"/>
        <d v="2025-07-01T00:00:00"/>
        <d v="2024-01-10T00:00:00"/>
        <d v="2025-03-20T00:00:00"/>
        <d v="2024-09-28T00:00:00"/>
        <d v="2024-01-27T00:00:00"/>
        <d v="2025-05-15T00:00:00"/>
        <d v="2024-10-04T00:00:00"/>
        <d v="2024-11-19T00:00:00"/>
        <d v="2024-04-05T00:00:00"/>
        <d v="2024-11-28T00:00:00"/>
        <d v="2025-03-09T00:00:00"/>
        <d v="2024-08-27T00:00:00"/>
        <d v="2024-10-01T00:00:00"/>
        <d v="2024-12-21T00:00:00"/>
        <d v="2024-06-17T00:00:00"/>
        <d v="2025-05-22T00:00:00"/>
        <d v="2024-01-21T00:00:00"/>
        <d v="2025-02-08T00:00:00"/>
        <d v="2025-04-13T00:00:00"/>
        <d v="2024-05-30T00:00:00"/>
        <d v="2024-09-27T00:00:00"/>
        <d v="2025-06-11T00:00:00"/>
        <d v="2024-04-25T00:00:00"/>
        <d v="2024-09-03T00:00:00"/>
        <d v="2025-03-02T00:00:00"/>
        <d v="2025-03-21T00:00:00"/>
        <d v="2024-04-12T00:00:00"/>
        <d v="2024-02-08T00:00:00"/>
        <d v="2025-05-26T00:00:00"/>
        <d v="2024-11-14T00:00:00"/>
        <d v="2024-08-09T00:00:00"/>
        <d v="2025-06-27T00:00:00"/>
        <d v="2025-01-27T00:00:00"/>
        <d v="2024-04-03T00:00:00"/>
        <d v="2024-11-23T00:00:00"/>
        <d v="2024-09-01T00:00:00"/>
        <d v="2024-04-18T00:00:00"/>
        <d v="2024-06-04T00:00:00"/>
        <d v="2025-04-02T00:00:00"/>
        <d v="2025-04-01T00:00:00"/>
        <d v="2024-07-02T00:00:00"/>
        <d v="2024-11-10T00:00:00"/>
        <d v="2024-12-14T00:00:00"/>
        <d v="2024-03-19T00:00:00"/>
        <d v="2024-07-23T00:00:00"/>
        <d v="2024-07-13T00:00:00"/>
        <d v="2024-06-16T00:00:00"/>
        <d v="2025-05-18T00:00:00"/>
        <d v="2025-06-06T00:00:00"/>
        <d v="2025-02-20T00:00:00"/>
        <d v="2025-01-16T00:00:00"/>
        <d v="2024-09-16T00:00:00"/>
        <d v="2024-05-10T00:00:00"/>
        <d v="2024-01-14T00:00:00"/>
        <d v="2025-01-12T00:00:00"/>
        <d v="2024-12-08T00:00:00"/>
        <d v="2024-07-11T00:00:00"/>
        <d v="2024-03-18T00:00:00"/>
        <d v="2024-09-12T00:00:00"/>
        <d v="2024-10-06T00:00:00"/>
        <d v="2024-12-30T00:00:00"/>
        <d v="2024-08-21T00:00:00"/>
        <d v="2025-04-07T00:00:00"/>
        <d v="2024-07-19T00:00:00"/>
        <d v="2025-05-03T00:00:00"/>
        <d v="2024-04-14T00:00:00"/>
        <d v="2025-06-19T00:00:00"/>
        <d v="2025-06-24T00:00:00"/>
        <d v="2025-01-15T00:00:00"/>
        <d v="2025-05-31T00:00:00"/>
        <d v="2024-10-14T00:00:00"/>
        <d v="2024-02-10T00:00:00"/>
        <d v="2024-12-10T00:00:00"/>
        <d v="2025-05-09T00:00:00"/>
        <d v="2025-06-21T00:00:00"/>
        <d v="2024-06-19T00:00:00"/>
        <d v="2024-02-01T00:00:00"/>
        <d v="2024-01-17T00:00:00"/>
        <d v="2025-03-22T00:00:00"/>
        <d v="2024-10-20T00:00:00"/>
        <d v="2024-02-02T00:00:00"/>
        <d v="2024-12-20T00:00:00"/>
        <d v="2024-12-13T00:00:00"/>
        <d v="2024-09-15T00:00:00"/>
        <d v="2025-04-12T00:00:00"/>
        <d v="2025-06-08T00:00:00"/>
        <d v="2024-07-08T00:00:00"/>
        <d v="2024-06-14T00:00:00"/>
        <d v="2024-08-08T00:00:00"/>
        <d v="2025-02-03T00:00:00"/>
        <d v="2024-06-08T00:00:00"/>
        <d v="2025-01-19T00:00:00"/>
        <d v="2024-11-16T00:00:00"/>
        <d v="2024-11-30T00:00:00"/>
        <d v="2024-03-27T00:00:00"/>
        <d v="2024-11-08T00:00:00"/>
        <d v="2024-03-17T00:00:00"/>
        <d v="2024-06-21T00:00:00"/>
        <d v="2024-02-19T00:00:00"/>
        <d v="2025-03-04T00:00:00"/>
        <d v="2024-12-02T00:00:00"/>
        <d v="2024-01-07T00:00:00"/>
        <d v="2024-02-21T00:00:00"/>
        <d v="2024-10-24T00:00:00"/>
        <d v="2025-01-29T00:00:00"/>
        <d v="2024-06-25T00:00:00"/>
        <d v="2024-08-13T00:00:00"/>
        <d v="2024-06-29T00:00:00"/>
        <d v="2025-04-18T00:00:00"/>
        <d v="2024-12-27T00:00:00"/>
        <d v="2025-03-08T00:00:00"/>
        <d v="2025-06-30T00:00:00"/>
        <d v="2024-01-12T00:00:00"/>
        <d v="2024-02-07T00:00:00"/>
      </sharedItems>
      <fieldGroup par="18" base="2">
        <rangePr groupBy="months" startDate="2024-01-01T00:00:00" endDate="2025-07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5"/>
        </groupItems>
      </fieldGroup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Engagement Rate" numFmtId="10">
      <sharedItems containsSemiMixedTypes="0" containsString="0" containsNumber="1" minValue="2.50275284149232E-2" maxValue="0.26064752360763155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_1" numFmtId="0">
      <sharedItems/>
    </cacheField>
    <cacheField name="Hashtags Used_2" numFmtId="0">
      <sharedItems containsBlank="1"/>
    </cacheField>
    <cacheField name="Campaign_Name" numFmtId="0">
      <sharedItems count="4">
        <s v="ChillVibes"/>
        <s v="IndieWave"/>
        <s v="Wrapped2024"/>
        <s v="SummerBeats"/>
      </sharedItems>
    </cacheField>
    <cacheField name="Total Enagagement" numFmtId="0">
      <sharedItems containsSemiMixedTypes="0" containsString="0" containsNumber="1" containsInteger="1" minValue="1341" maxValue="5728"/>
    </cacheField>
    <cacheField name="Engagemnet rate" numFmtId="0" formula=" (Likes+Shares+Comments)/Impressions" databaseField="0"/>
    <cacheField name="Quarters" numFmtId="0" databaseField="0">
      <fieldGroup base="2">
        <rangePr groupBy="quarters" startDate="2024-01-01T00:00:00" endDate="2025-07-02T00:00:00"/>
        <groupItems count="6">
          <s v="&lt;01-01-2024"/>
          <s v="Qtr1"/>
          <s v="Qtr2"/>
          <s v="Qtr3"/>
          <s v="Qtr4"/>
          <s v="&gt;02-07-2025"/>
        </groupItems>
      </fieldGroup>
    </cacheField>
    <cacheField name="Years" numFmtId="0" databaseField="0">
      <fieldGroup base="2">
        <rangePr groupBy="years" startDate="2024-01-01T00:00:00" endDate="2025-07-02T00:00:00"/>
        <groupItems count="4">
          <s v="&lt;01-01-2024"/>
          <s v="2024"/>
          <s v="2025"/>
          <s v="&gt;02-07-2025"/>
        </groupItems>
      </fieldGroup>
    </cacheField>
    <cacheField name="Engagement rate 2" numFmtId="0" formula=" (Likes+Shares+Comments)/Impressions" databaseField="0"/>
  </cacheFields>
  <extLst>
    <ext xmlns:x14="http://schemas.microsoft.com/office/spreadsheetml/2009/9/main" uri="{725AE2AE-9491-48be-B2B4-4EB974FC3084}">
      <x14:pivotCacheDefinition pivotCacheId="19142833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x v="0"/>
    <x v="0"/>
    <s v="Discover fresh beats on Spotify!"/>
    <n v="2414"/>
    <n v="245"/>
    <n v="137"/>
    <n v="21181"/>
    <n v="0.13200509890939993"/>
    <n v="45292"/>
    <n v="133"/>
    <s v="#SoundtrackOfLife"/>
    <s v="#NowPlaying"/>
    <x v="0"/>
    <n v="2796"/>
  </r>
  <r>
    <s v="SP002"/>
    <x v="0"/>
    <x v="1"/>
    <x v="0"/>
    <s v="Explore the latest podcasts now."/>
    <n v="1934"/>
    <n v="210"/>
    <n v="393"/>
    <n v="29129"/>
    <n v="8.7095334546328396E-2"/>
    <n v="73287"/>
    <n v="273"/>
    <s v="#DiscoverWeekly"/>
    <m/>
    <x v="1"/>
    <n v="2537"/>
  </r>
  <r>
    <s v="SP003"/>
    <x v="1"/>
    <x v="2"/>
    <x v="1"/>
    <s v="New music just dropped. Hit play!"/>
    <n v="3092"/>
    <n v="177"/>
    <n v="81"/>
    <n v="47533"/>
    <n v="7.0477352576105018E-2"/>
    <n v="29220"/>
    <n v="121"/>
    <s v="#MusicForEveryone"/>
    <s v="#NowPlaying"/>
    <x v="0"/>
    <n v="3350"/>
  </r>
  <r>
    <s v="SP004"/>
    <x v="0"/>
    <x v="2"/>
    <x v="0"/>
    <s v="Wrapped is here! Relive your top tracks ðŸŽ§"/>
    <n v="3173"/>
    <n v="229"/>
    <n v="197"/>
    <n v="29604"/>
    <n v="0.1215714092690177"/>
    <n v="21809"/>
    <n v="272"/>
    <s v="#SoundtrackOfLife"/>
    <s v="#NowPlaying"/>
    <x v="0"/>
    <n v="3599"/>
  </r>
  <r>
    <s v="SP005"/>
    <x v="2"/>
    <x v="3"/>
    <x v="0"/>
    <s v="Music that moves youâ€”only on Spotify."/>
    <n v="2748"/>
    <n v="145"/>
    <n v="315"/>
    <n v="24401"/>
    <n v="0.1314700217204213"/>
    <n v="61182"/>
    <n v="200"/>
    <s v="#DiscoverWeekly"/>
    <s v="#SpotifyWrapped"/>
    <x v="1"/>
    <n v="3208"/>
  </r>
  <r>
    <s v="SP006"/>
    <x v="2"/>
    <x v="4"/>
    <x v="0"/>
    <s v="Whatâ€™s your vibe today? #SpotifyHits"/>
    <n v="3882"/>
    <n v="239"/>
    <n v="275"/>
    <n v="58748"/>
    <n v="7.4828079253761837E-2"/>
    <n v="44646"/>
    <n v="149"/>
    <s v="#DiscoverWeekly"/>
    <s v="#SpotifyWrapped"/>
    <x v="1"/>
    <n v="4396"/>
  </r>
  <r>
    <s v="SP007"/>
    <x v="1"/>
    <x v="5"/>
    <x v="1"/>
    <s v="Get into the groove with our new drop!"/>
    <n v="4674"/>
    <n v="409"/>
    <n v="327"/>
    <n v="20756"/>
    <n v="0.26064752360763155"/>
    <n v="63599"/>
    <n v="212"/>
    <s v="#SoundtrackOfLife"/>
    <s v="#NowPlaying"/>
    <x v="0"/>
    <n v="5410"/>
  </r>
  <r>
    <s v="SP008"/>
    <x v="1"/>
    <x v="6"/>
    <x v="1"/>
    <s v="Wrapped is here! Relive your top tracks ðŸŽ§"/>
    <n v="1428"/>
    <n v="347"/>
    <n v="67"/>
    <n v="21148"/>
    <n v="8.7100435029317191E-2"/>
    <n v="19712"/>
    <n v="120"/>
    <s v="#DiscoverWeekly"/>
    <s v="#MusicForEveryone"/>
    <x v="0"/>
    <n v="1842"/>
  </r>
  <r>
    <s v="SP009"/>
    <x v="1"/>
    <x v="7"/>
    <x v="0"/>
    <s v="Top trending tracks updated daily!"/>
    <n v="4432"/>
    <n v="223"/>
    <n v="299"/>
    <n v="59016"/>
    <n v="8.3943337400027115E-2"/>
    <n v="21742"/>
    <n v="171"/>
    <s v="#NowPlaying"/>
    <m/>
    <x v="0"/>
    <n v="4954"/>
  </r>
  <r>
    <s v="SP010"/>
    <x v="1"/>
    <x v="8"/>
    <x v="0"/>
    <s v="Wrapped is here! Relive your top tracks ðŸŽ§"/>
    <n v="2357"/>
    <n v="274"/>
    <n v="172"/>
    <n v="21566"/>
    <n v="0.12997310581470833"/>
    <n v="66829"/>
    <n v="284"/>
    <s v="#NowPlaying"/>
    <m/>
    <x v="0"/>
    <n v="2803"/>
  </r>
  <r>
    <s v="SP011"/>
    <x v="1"/>
    <x v="9"/>
    <x v="0"/>
    <s v="Discover fresh beats on Spotify!"/>
    <n v="1971"/>
    <n v="370"/>
    <n v="306"/>
    <n v="31316"/>
    <n v="8.4525482181632389E-2"/>
    <n v="27897"/>
    <n v="88"/>
    <s v="#SoundtrackOfLife"/>
    <m/>
    <x v="1"/>
    <n v="2647"/>
  </r>
  <r>
    <s v="SP012"/>
    <x v="0"/>
    <x v="10"/>
    <x v="0"/>
    <s v="Discover fresh beats on Spotify!"/>
    <n v="1485"/>
    <n v="353"/>
    <n v="244"/>
    <n v="38419"/>
    <n v="5.4191936281527367E-2"/>
    <n v="38556"/>
    <n v="86"/>
    <s v="#SoundtrackOfLife"/>
    <s v="#NowPlaying"/>
    <x v="0"/>
    <n v="2082"/>
  </r>
  <r>
    <s v="SP013"/>
    <x v="1"/>
    <x v="11"/>
    <x v="1"/>
    <s v="Discover fresh beats on Spotify!"/>
    <n v="3956"/>
    <n v="319"/>
    <n v="61"/>
    <n v="58162"/>
    <n v="7.4550393727863554E-2"/>
    <n v="28720"/>
    <n v="213"/>
    <s v="#MusicForEveryone"/>
    <s v="#NowPlaying"/>
    <x v="0"/>
    <n v="4336"/>
  </r>
  <r>
    <s v="SP014"/>
    <x v="1"/>
    <x v="12"/>
    <x v="0"/>
    <s v="From pop to podcasts, itâ€™s all here."/>
    <n v="2460"/>
    <n v="409"/>
    <n v="253"/>
    <n v="36702"/>
    <n v="8.5063484278785892E-2"/>
    <n v="46122"/>
    <n v="264"/>
    <s v="#NowPlaying"/>
    <m/>
    <x v="0"/>
    <n v="3122"/>
  </r>
  <r>
    <s v="SP015"/>
    <x v="1"/>
    <x v="13"/>
    <x v="0"/>
    <s v="Your weekend playlist is waiting."/>
    <n v="3476"/>
    <n v="355"/>
    <n v="396"/>
    <n v="37492"/>
    <n v="0.11274405206444041"/>
    <n v="27285"/>
    <n v="179"/>
    <s v="#NowPlaying"/>
    <m/>
    <x v="0"/>
    <n v="4227"/>
  </r>
  <r>
    <s v="SP016"/>
    <x v="1"/>
    <x v="14"/>
    <x v="1"/>
    <s v="New music just dropped. Hit play!"/>
    <n v="4049"/>
    <n v="377"/>
    <n v="94"/>
    <n v="48182"/>
    <n v="9.3810966751068869E-2"/>
    <n v="42875"/>
    <n v="172"/>
    <s v="#MusicForEveryone"/>
    <s v="#NowPlaying"/>
    <x v="0"/>
    <n v="4520"/>
  </r>
  <r>
    <s v="SP017"/>
    <x v="1"/>
    <x v="15"/>
    <x v="0"/>
    <s v="Whatâ€™s your vibe today? #SpotifyHits"/>
    <n v="1514"/>
    <n v="164"/>
    <n v="275"/>
    <n v="41364"/>
    <n v="4.7214969538729328E-2"/>
    <n v="44389"/>
    <n v="83"/>
    <s v="#NowPlaying"/>
    <m/>
    <x v="0"/>
    <n v="1953"/>
  </r>
  <r>
    <s v="SP018"/>
    <x v="0"/>
    <x v="16"/>
    <x v="1"/>
    <s v="Music that moves youâ€”only on Spotify."/>
    <n v="4281"/>
    <n v="101"/>
    <n v="163"/>
    <n v="32278"/>
    <n v="0.1408079806679472"/>
    <n v="53382"/>
    <n v="235"/>
    <s v="#NowPlaying"/>
    <m/>
    <x v="2"/>
    <n v="4545"/>
  </r>
  <r>
    <s v="SP019"/>
    <x v="2"/>
    <x v="17"/>
    <x v="2"/>
    <s v="Get into the groove with our new drop!"/>
    <n v="1751"/>
    <n v="143"/>
    <n v="151"/>
    <n v="31826"/>
    <n v="6.4255640042732362E-2"/>
    <n v="47729"/>
    <n v="95"/>
    <s v="#DiscoverWeekly"/>
    <s v="#SoundtrackOfLife"/>
    <x v="3"/>
    <n v="2045"/>
  </r>
  <r>
    <s v="SP020"/>
    <x v="0"/>
    <x v="18"/>
    <x v="0"/>
    <s v="Your weekend playlist is waiting."/>
    <n v="3753"/>
    <n v="411"/>
    <n v="308"/>
    <n v="29138"/>
    <n v="0.15347655981879332"/>
    <n v="27678"/>
    <n v="90"/>
    <s v="#DiscoverWeekly"/>
    <m/>
    <x v="1"/>
    <n v="4472"/>
  </r>
  <r>
    <s v="SP021"/>
    <x v="0"/>
    <x v="19"/>
    <x v="1"/>
    <s v="Wrapped is here! Relive your top tracks ðŸŽ§"/>
    <n v="1678"/>
    <n v="423"/>
    <n v="323"/>
    <n v="55668"/>
    <n v="4.3543867212761371E-2"/>
    <n v="37945"/>
    <n v="230"/>
    <s v="#NowPlaying"/>
    <m/>
    <x v="2"/>
    <n v="2424"/>
  </r>
  <r>
    <s v="SP022"/>
    <x v="0"/>
    <x v="7"/>
    <x v="0"/>
    <s v="Whatâ€™s your vibe today? #SpotifyHits"/>
    <n v="4896"/>
    <n v="466"/>
    <n v="233"/>
    <n v="28621"/>
    <n v="0.19548583208133888"/>
    <n v="34270"/>
    <n v="84"/>
    <s v="#SoundtrackOfLife"/>
    <s v="#NowPlaying"/>
    <x v="0"/>
    <n v="5595"/>
  </r>
  <r>
    <s v="SP023"/>
    <x v="2"/>
    <x v="20"/>
    <x v="2"/>
    <s v="From pop to podcasts, itâ€™s all here."/>
    <n v="2786"/>
    <n v="368"/>
    <n v="208"/>
    <n v="42000"/>
    <n v="8.0047619047619048E-2"/>
    <n v="39967"/>
    <n v="103"/>
    <s v="#DiscoverWeekly"/>
    <s v="#SoundtrackOfLife"/>
    <x v="3"/>
    <n v="3362"/>
  </r>
  <r>
    <s v="SP024"/>
    <x v="1"/>
    <x v="21"/>
    <x v="0"/>
    <s v="New music just dropped. Hit play!"/>
    <n v="2607"/>
    <n v="379"/>
    <n v="180"/>
    <n v="28712"/>
    <n v="0.11026748397882419"/>
    <n v="61620"/>
    <n v="174"/>
    <s v="#SoundtrackOfLife"/>
    <m/>
    <x v="1"/>
    <n v="3166"/>
  </r>
  <r>
    <s v="SP025"/>
    <x v="2"/>
    <x v="22"/>
    <x v="2"/>
    <s v="From pop to podcasts, itâ€™s all here."/>
    <n v="4013"/>
    <n v="320"/>
    <n v="92"/>
    <n v="54605"/>
    <n v="8.1036535115831879E-2"/>
    <n v="60169"/>
    <n v="232"/>
    <s v="#DiscoverWeekly"/>
    <s v="#SoundtrackOfLife"/>
    <x v="3"/>
    <n v="4425"/>
  </r>
  <r>
    <s v="SP026"/>
    <x v="1"/>
    <x v="23"/>
    <x v="1"/>
    <s v="From pop to podcasts, itâ€™s all here."/>
    <n v="2707"/>
    <n v="103"/>
    <n v="51"/>
    <n v="55302"/>
    <n v="5.173411449857148E-2"/>
    <n v="18801"/>
    <n v="147"/>
    <s v="#DiscoverWeekly"/>
    <s v="#MusicForEveryone"/>
    <x v="0"/>
    <n v="2861"/>
  </r>
  <r>
    <s v="SP027"/>
    <x v="0"/>
    <x v="24"/>
    <x v="0"/>
    <s v="Whatâ€™s your vibe today? #SpotifyHits"/>
    <n v="2824"/>
    <n v="425"/>
    <n v="274"/>
    <n v="31004"/>
    <n v="0.11363049929041415"/>
    <n v="53488"/>
    <n v="268"/>
    <s v="#SoundtrackOfLife"/>
    <s v="#NowPlaying"/>
    <x v="0"/>
    <n v="3523"/>
  </r>
  <r>
    <s v="SP028"/>
    <x v="2"/>
    <x v="25"/>
    <x v="2"/>
    <s v="Explore the latest podcasts now."/>
    <n v="3558"/>
    <n v="314"/>
    <n v="199"/>
    <n v="49612"/>
    <n v="8.205676046117874E-2"/>
    <n v="53929"/>
    <n v="206"/>
    <s v="#DiscoverWeekly"/>
    <s v="#SoundtrackOfLife"/>
    <x v="3"/>
    <n v="4071"/>
  </r>
  <r>
    <s v="SP029"/>
    <x v="1"/>
    <x v="26"/>
    <x v="1"/>
    <s v="Explore the latest podcasts now."/>
    <n v="3418"/>
    <n v="188"/>
    <n v="387"/>
    <n v="57431"/>
    <n v="6.9526910553533799E-2"/>
    <n v="36933"/>
    <n v="202"/>
    <s v="#MusicForEveryone"/>
    <s v="#NowPlaying"/>
    <x v="0"/>
    <n v="3993"/>
  </r>
  <r>
    <s v="SP030"/>
    <x v="1"/>
    <x v="27"/>
    <x v="0"/>
    <s v="Discover fresh beats on Spotify!"/>
    <n v="2411"/>
    <n v="194"/>
    <n v="168"/>
    <n v="26665"/>
    <n v="0.10399399962497656"/>
    <n v="71699"/>
    <n v="197"/>
    <s v="#NowPlaying"/>
    <m/>
    <x v="0"/>
    <n v="2773"/>
  </r>
  <r>
    <s v="SP031"/>
    <x v="0"/>
    <x v="28"/>
    <x v="0"/>
    <s v="New music just dropped. Hit play!"/>
    <n v="4036"/>
    <n v="112"/>
    <n v="382"/>
    <n v="56284"/>
    <n v="8.0484684812735408E-2"/>
    <n v="29440"/>
    <n v="279"/>
    <s v="#SoundtrackOfLife"/>
    <s v="#NowPlaying"/>
    <x v="0"/>
    <n v="4530"/>
  </r>
  <r>
    <s v="SP032"/>
    <x v="1"/>
    <x v="29"/>
    <x v="1"/>
    <s v="Explore the latest podcasts now."/>
    <n v="2776"/>
    <n v="307"/>
    <n v="178"/>
    <n v="43365"/>
    <n v="7.519889311656866E-2"/>
    <n v="48408"/>
    <n v="138"/>
    <s v="#SoundtrackOfLife"/>
    <s v="#NowPlaying"/>
    <x v="0"/>
    <n v="3261"/>
  </r>
  <r>
    <s v="SP033"/>
    <x v="1"/>
    <x v="30"/>
    <x v="1"/>
    <s v="Discover fresh beats on Spotify!"/>
    <n v="4929"/>
    <n v="182"/>
    <n v="95"/>
    <n v="32181"/>
    <n v="0.16177247444144061"/>
    <n v="31084"/>
    <n v="289"/>
    <s v="#DiscoverWeekly"/>
    <s v="#MusicForEveryone"/>
    <x v="0"/>
    <n v="5206"/>
  </r>
  <r>
    <s v="SP034"/>
    <x v="0"/>
    <x v="31"/>
    <x v="0"/>
    <s v="New music just dropped. Hit play!"/>
    <n v="1015"/>
    <n v="366"/>
    <n v="308"/>
    <n v="38127"/>
    <n v="4.4299315445747112E-2"/>
    <n v="63790"/>
    <n v="287"/>
    <s v="#SoundtrackOfLife"/>
    <s v="#NowPlaying"/>
    <x v="0"/>
    <n v="1689"/>
  </r>
  <r>
    <s v="SP035"/>
    <x v="1"/>
    <x v="32"/>
    <x v="1"/>
    <s v="Your weekend playlist is waiting."/>
    <n v="3316"/>
    <n v="332"/>
    <n v="268"/>
    <n v="40095"/>
    <n v="9.7668038408779148E-2"/>
    <n v="36913"/>
    <n v="265"/>
    <s v="#MusicForEveryone"/>
    <s v="#NowPlaying"/>
    <x v="0"/>
    <n v="3916"/>
  </r>
  <r>
    <s v="SP036"/>
    <x v="0"/>
    <x v="33"/>
    <x v="0"/>
    <s v="Wrapped is here! Relive your top tracks ðŸŽ§"/>
    <n v="2274"/>
    <n v="243"/>
    <n v="222"/>
    <n v="43066"/>
    <n v="6.3600055728416843E-2"/>
    <n v="59174"/>
    <n v="80"/>
    <s v="#DiscoverWeekly"/>
    <m/>
    <x v="1"/>
    <n v="2739"/>
  </r>
  <r>
    <s v="SP037"/>
    <x v="1"/>
    <x v="34"/>
    <x v="1"/>
    <s v="Explore the latest podcasts now."/>
    <n v="4095"/>
    <n v="385"/>
    <n v="400"/>
    <n v="45300"/>
    <n v="0.10772626931567329"/>
    <n v="31795"/>
    <n v="80"/>
    <s v="#MusicForEveryone"/>
    <s v="#NowPlaying"/>
    <x v="0"/>
    <n v="4880"/>
  </r>
  <r>
    <s v="SP038"/>
    <x v="0"/>
    <x v="35"/>
    <x v="1"/>
    <s v="New music just dropped. Hit play!"/>
    <n v="1230"/>
    <n v="309"/>
    <n v="207"/>
    <n v="44629"/>
    <n v="3.9122543637545096E-2"/>
    <n v="40699"/>
    <n v="195"/>
    <s v="#NowPlaying"/>
    <m/>
    <x v="2"/>
    <n v="1746"/>
  </r>
  <r>
    <s v="SP039"/>
    <x v="0"/>
    <x v="36"/>
    <x v="0"/>
    <s v="From pop to podcasts, itâ€™s all here."/>
    <n v="1341"/>
    <n v="472"/>
    <n v="238"/>
    <n v="51386"/>
    <n v="3.9913595142645857E-2"/>
    <n v="51706"/>
    <n v="133"/>
    <s v="#DiscoverWeekly"/>
    <m/>
    <x v="1"/>
    <n v="2051"/>
  </r>
  <r>
    <s v="SP040"/>
    <x v="1"/>
    <x v="37"/>
    <x v="0"/>
    <s v="Explore the latest podcasts now."/>
    <n v="3615"/>
    <n v="192"/>
    <n v="162"/>
    <n v="27492"/>
    <n v="0.14436927106067218"/>
    <n v="35341"/>
    <n v="125"/>
    <s v="#NowPlaying"/>
    <m/>
    <x v="0"/>
    <n v="3969"/>
  </r>
  <r>
    <s v="SP041"/>
    <x v="0"/>
    <x v="38"/>
    <x v="0"/>
    <s v="New music just dropped. Hit play!"/>
    <n v="4001"/>
    <n v="353"/>
    <n v="129"/>
    <n v="41265"/>
    <n v="0.10863928268508422"/>
    <n v="37279"/>
    <n v="275"/>
    <s v="#SoundtrackOfLife"/>
    <s v="#NowPlaying"/>
    <x v="0"/>
    <n v="4483"/>
  </r>
  <r>
    <s v="SP042"/>
    <x v="0"/>
    <x v="39"/>
    <x v="1"/>
    <s v="Whatâ€™s your vibe today? #SpotifyHits"/>
    <n v="3451"/>
    <n v="363"/>
    <n v="393"/>
    <n v="44853"/>
    <n v="9.379528682585335E-2"/>
    <n v="69032"/>
    <n v="211"/>
    <s v="#NowPlaying"/>
    <m/>
    <x v="2"/>
    <n v="4207"/>
  </r>
  <r>
    <s v="SP043"/>
    <x v="0"/>
    <x v="40"/>
    <x v="0"/>
    <s v="Top trending tracks updated daily!"/>
    <n v="4891"/>
    <n v="450"/>
    <n v="387"/>
    <n v="48746"/>
    <n v="0.11750707750379519"/>
    <n v="37312"/>
    <n v="154"/>
    <s v="#SoundtrackOfLife"/>
    <s v="#NowPlaying"/>
    <x v="0"/>
    <n v="5728"/>
  </r>
  <r>
    <s v="SP044"/>
    <x v="0"/>
    <x v="41"/>
    <x v="0"/>
    <s v="New music just dropped. Hit play!"/>
    <n v="1452"/>
    <n v="281"/>
    <n v="326"/>
    <n v="51556"/>
    <n v="3.9937155714174881E-2"/>
    <n v="62599"/>
    <n v="290"/>
    <s v="#DiscoverWeekly"/>
    <m/>
    <x v="1"/>
    <n v="2059"/>
  </r>
  <r>
    <s v="SP045"/>
    <x v="2"/>
    <x v="42"/>
    <x v="0"/>
    <s v="Your weekend playlist is waiting."/>
    <n v="3806"/>
    <n v="114"/>
    <n v="278"/>
    <n v="36148"/>
    <n v="0.11613367267898639"/>
    <n v="24209"/>
    <n v="201"/>
    <s v="#DiscoverWeekly"/>
    <s v="#SpotifyWrapped"/>
    <x v="1"/>
    <n v="4198"/>
  </r>
  <r>
    <s v="SP046"/>
    <x v="0"/>
    <x v="43"/>
    <x v="0"/>
    <s v="Explore the latest podcasts now."/>
    <n v="2923"/>
    <n v="330"/>
    <n v="250"/>
    <n v="23993"/>
    <n v="0.14600091693410577"/>
    <n v="74590"/>
    <n v="92"/>
    <s v="#DiscoverWeekly"/>
    <m/>
    <x v="1"/>
    <n v="3503"/>
  </r>
  <r>
    <s v="SP047"/>
    <x v="2"/>
    <x v="44"/>
    <x v="2"/>
    <s v="From pop to podcasts, itâ€™s all here."/>
    <n v="3361"/>
    <n v="188"/>
    <n v="358"/>
    <n v="39838"/>
    <n v="9.8072192379135503E-2"/>
    <n v="24536"/>
    <n v="120"/>
    <s v="#DiscoverWeekly"/>
    <s v="#SoundtrackOfLife"/>
    <x v="3"/>
    <n v="3907"/>
  </r>
  <r>
    <s v="SP048"/>
    <x v="0"/>
    <x v="45"/>
    <x v="1"/>
    <s v="Music that moves youâ€”only on Spotify."/>
    <n v="3074"/>
    <n v="371"/>
    <n v="348"/>
    <n v="24104"/>
    <n v="0.15735977431131762"/>
    <n v="57803"/>
    <n v="213"/>
    <s v="#NowPlaying"/>
    <m/>
    <x v="2"/>
    <n v="3793"/>
  </r>
  <r>
    <s v="SP049"/>
    <x v="1"/>
    <x v="46"/>
    <x v="1"/>
    <s v="Get into the groove with our new drop!"/>
    <n v="4276"/>
    <n v="227"/>
    <n v="223"/>
    <n v="43443"/>
    <n v="0.1087862256289851"/>
    <n v="41005"/>
    <n v="191"/>
    <s v="#DiscoverWeekly"/>
    <s v="#MusicForEveryone"/>
    <x v="0"/>
    <n v="4726"/>
  </r>
  <r>
    <s v="SP050"/>
    <x v="1"/>
    <x v="47"/>
    <x v="0"/>
    <s v="Discover fresh beats on Spotify!"/>
    <n v="4401"/>
    <n v="421"/>
    <n v="216"/>
    <n v="24890"/>
    <n v="0.20241060666934513"/>
    <n v="54361"/>
    <n v="148"/>
    <s v="#NowPlaying"/>
    <m/>
    <x v="0"/>
    <n v="5038"/>
  </r>
  <r>
    <s v="SP051"/>
    <x v="2"/>
    <x v="48"/>
    <x v="2"/>
    <s v="Explore the latest podcasts now."/>
    <n v="4161"/>
    <n v="481"/>
    <n v="61"/>
    <n v="45884"/>
    <n v="0.10249760265016128"/>
    <n v="48955"/>
    <n v="215"/>
    <s v="#DiscoverWeekly"/>
    <s v="#SoundtrackOfLife"/>
    <x v="3"/>
    <n v="4703"/>
  </r>
  <r>
    <s v="SP052"/>
    <x v="1"/>
    <x v="49"/>
    <x v="1"/>
    <s v="New music just dropped. Hit play!"/>
    <n v="2613"/>
    <n v="455"/>
    <n v="228"/>
    <n v="21645"/>
    <n v="0.15227535227535227"/>
    <n v="61334"/>
    <n v="261"/>
    <s v="#DiscoverWeekly"/>
    <s v="#MusicForEveryone"/>
    <x v="0"/>
    <n v="3296"/>
  </r>
  <r>
    <s v="SP053"/>
    <x v="1"/>
    <x v="50"/>
    <x v="1"/>
    <s v="Whatâ€™s your vibe today? #SpotifyHits"/>
    <n v="2842"/>
    <n v="213"/>
    <n v="331"/>
    <n v="57660"/>
    <n v="5.8723551855705859E-2"/>
    <n v="68606"/>
    <n v="87"/>
    <s v="#MusicForEveryone"/>
    <s v="#NowPlaying"/>
    <x v="0"/>
    <n v="3386"/>
  </r>
  <r>
    <s v="SP054"/>
    <x v="0"/>
    <x v="51"/>
    <x v="0"/>
    <s v="Get into the groove with our new drop!"/>
    <n v="4851"/>
    <n v="460"/>
    <n v="212"/>
    <n v="58075"/>
    <n v="9.5101162290142052E-2"/>
    <n v="59574"/>
    <n v="239"/>
    <s v="#DiscoverWeekly"/>
    <m/>
    <x v="1"/>
    <n v="5523"/>
  </r>
  <r>
    <s v="SP055"/>
    <x v="1"/>
    <x v="52"/>
    <x v="0"/>
    <s v="Explore the latest podcasts now."/>
    <n v="1828"/>
    <n v="450"/>
    <n v="214"/>
    <n v="52115"/>
    <n v="4.781732706514439E-2"/>
    <n v="19166"/>
    <n v="190"/>
    <s v="#NowPlaying"/>
    <m/>
    <x v="0"/>
    <n v="2492"/>
  </r>
  <r>
    <s v="SP056"/>
    <x v="0"/>
    <x v="53"/>
    <x v="1"/>
    <s v="From pop to podcasts, itâ€™s all here."/>
    <n v="2422"/>
    <n v="455"/>
    <n v="376"/>
    <n v="23428"/>
    <n v="0.13885094758408742"/>
    <n v="46775"/>
    <n v="259"/>
    <s v="#NowPlaying"/>
    <m/>
    <x v="2"/>
    <n v="3253"/>
  </r>
  <r>
    <s v="SP057"/>
    <x v="0"/>
    <x v="54"/>
    <x v="0"/>
    <s v="Top trending tracks updated daily!"/>
    <n v="2683"/>
    <n v="405"/>
    <n v="223"/>
    <n v="31233"/>
    <n v="0.10600966926007749"/>
    <n v="58106"/>
    <n v="291"/>
    <s v="#DiscoverWeekly"/>
    <m/>
    <x v="1"/>
    <n v="3311"/>
  </r>
  <r>
    <s v="SP058"/>
    <x v="2"/>
    <x v="55"/>
    <x v="0"/>
    <s v="Top trending tracks updated daily!"/>
    <n v="3135"/>
    <n v="110"/>
    <n v="215"/>
    <n v="39192"/>
    <n v="8.8283323127168814E-2"/>
    <n v="24744"/>
    <n v="177"/>
    <s v="#DiscoverWeekly"/>
    <s v="#SpotifyWrapped"/>
    <x v="1"/>
    <n v="3460"/>
  </r>
  <r>
    <s v="SP059"/>
    <x v="2"/>
    <x v="56"/>
    <x v="0"/>
    <s v="From pop to podcasts, itâ€™s all here."/>
    <n v="1105"/>
    <n v="181"/>
    <n v="55"/>
    <n v="53581"/>
    <n v="2.50275284149232E-2"/>
    <n v="74048"/>
    <n v="220"/>
    <s v="#DiscoverWeekly"/>
    <s v="#SpotifyWrapped"/>
    <x v="1"/>
    <n v="1341"/>
  </r>
  <r>
    <s v="SP060"/>
    <x v="2"/>
    <x v="57"/>
    <x v="0"/>
    <s v="Discover fresh beats on Spotify!"/>
    <n v="4674"/>
    <n v="326"/>
    <n v="62"/>
    <n v="45503"/>
    <n v="0.11124541239039185"/>
    <n v="46814"/>
    <n v="116"/>
    <s v="#DiscoverWeekly"/>
    <s v="#SpotifyWrapped"/>
    <x v="1"/>
    <n v="5062"/>
  </r>
  <r>
    <s v="SP061"/>
    <x v="2"/>
    <x v="58"/>
    <x v="2"/>
    <s v="Explore the latest podcasts now."/>
    <n v="3437"/>
    <n v="129"/>
    <n v="359"/>
    <n v="44558"/>
    <n v="8.8087436599488311E-2"/>
    <n v="30854"/>
    <n v="171"/>
    <s v="#DiscoverWeekly"/>
    <s v="#SoundtrackOfLife"/>
    <x v="3"/>
    <n v="3925"/>
  </r>
  <r>
    <s v="SP062"/>
    <x v="1"/>
    <x v="59"/>
    <x v="1"/>
    <s v="Wrapped is here! Relive your top tracks ðŸŽ§"/>
    <n v="1959"/>
    <n v="316"/>
    <n v="82"/>
    <n v="54036"/>
    <n v="4.3619068768968837E-2"/>
    <n v="69015"/>
    <n v="182"/>
    <s v="#MusicForEveryone"/>
    <s v="#NowPlaying"/>
    <x v="0"/>
    <n v="2357"/>
  </r>
  <r>
    <s v="SP063"/>
    <x v="1"/>
    <x v="60"/>
    <x v="0"/>
    <s v="New music just dropped. Hit play!"/>
    <n v="1035"/>
    <n v="137"/>
    <n v="184"/>
    <n v="37302"/>
    <n v="3.6351938233874857E-2"/>
    <n v="68953"/>
    <n v="237"/>
    <s v="#SoundtrackOfLife"/>
    <m/>
    <x v="1"/>
    <n v="1356"/>
  </r>
  <r>
    <s v="SP064"/>
    <x v="1"/>
    <x v="61"/>
    <x v="1"/>
    <s v="New music just dropped. Hit play!"/>
    <n v="4478"/>
    <n v="101"/>
    <n v="121"/>
    <n v="51035"/>
    <n v="9.2093661212893113E-2"/>
    <n v="58207"/>
    <n v="205"/>
    <s v="#MusicForEveryone"/>
    <s v="#NowPlaying"/>
    <x v="0"/>
    <n v="4700"/>
  </r>
  <r>
    <s v="SP065"/>
    <x v="2"/>
    <x v="62"/>
    <x v="0"/>
    <s v="From pop to podcasts, itâ€™s all here."/>
    <n v="1488"/>
    <n v="327"/>
    <n v="110"/>
    <n v="53805"/>
    <n v="3.5777344113000653E-2"/>
    <n v="30239"/>
    <n v="109"/>
    <s v="#DiscoverWeekly"/>
    <s v="#SpotifyWrapped"/>
    <x v="1"/>
    <n v="1925"/>
  </r>
  <r>
    <s v="SP066"/>
    <x v="0"/>
    <x v="63"/>
    <x v="0"/>
    <s v="Wrapped is here! Relive your top tracks ðŸŽ§"/>
    <n v="4836"/>
    <n v="331"/>
    <n v="140"/>
    <n v="58792"/>
    <n v="9.0267383317458164E-2"/>
    <n v="47711"/>
    <n v="227"/>
    <s v="#SoundtrackOfLife"/>
    <s v="#NowPlaying"/>
    <x v="0"/>
    <n v="5307"/>
  </r>
  <r>
    <s v="SP067"/>
    <x v="2"/>
    <x v="64"/>
    <x v="2"/>
    <s v="Your weekend playlist is waiting."/>
    <n v="4563"/>
    <n v="488"/>
    <n v="356"/>
    <n v="30619"/>
    <n v="0.17658969920637513"/>
    <n v="23328"/>
    <n v="267"/>
    <s v="#DiscoverWeekly"/>
    <s v="#SoundtrackOfLife"/>
    <x v="3"/>
    <n v="5407"/>
  </r>
  <r>
    <s v="SP068"/>
    <x v="1"/>
    <x v="65"/>
    <x v="0"/>
    <s v="Music that moves youâ€”only on Spotify."/>
    <n v="3276"/>
    <n v="421"/>
    <n v="114"/>
    <n v="20580"/>
    <n v="0.18517978620019437"/>
    <n v="30324"/>
    <n v="221"/>
    <s v="#SoundtrackOfLife"/>
    <m/>
    <x v="1"/>
    <n v="3811"/>
  </r>
  <r>
    <s v="SP069"/>
    <x v="1"/>
    <x v="66"/>
    <x v="1"/>
    <s v="Music that moves youâ€”only on Spotify."/>
    <n v="1316"/>
    <n v="472"/>
    <n v="286"/>
    <n v="44692"/>
    <n v="4.6406515707509172E-2"/>
    <n v="53343"/>
    <n v="227"/>
    <s v="#DiscoverWeekly"/>
    <s v="#MusicForEveryone"/>
    <x v="0"/>
    <n v="2074"/>
  </r>
  <r>
    <s v="SP070"/>
    <x v="1"/>
    <x v="67"/>
    <x v="0"/>
    <s v="Wrapped is here! Relive your top tracks ðŸŽ§"/>
    <n v="4811"/>
    <n v="473"/>
    <n v="254"/>
    <n v="51964"/>
    <n v="0.10657378184897237"/>
    <n v="68795"/>
    <n v="107"/>
    <s v="#NowPlaying"/>
    <m/>
    <x v="0"/>
    <n v="5538"/>
  </r>
  <r>
    <s v="SP071"/>
    <x v="1"/>
    <x v="68"/>
    <x v="0"/>
    <s v="Whatâ€™s your vibe today? #SpotifyHits"/>
    <n v="4218"/>
    <n v="247"/>
    <n v="183"/>
    <n v="28914"/>
    <n v="0.1607525766064882"/>
    <n v="18310"/>
    <n v="135"/>
    <s v="#SoundtrackOfLife"/>
    <m/>
    <x v="1"/>
    <n v="4648"/>
  </r>
  <r>
    <s v="SP072"/>
    <x v="0"/>
    <x v="69"/>
    <x v="0"/>
    <s v="From pop to podcasts, itâ€™s all here."/>
    <n v="1360"/>
    <n v="249"/>
    <n v="52"/>
    <n v="20368"/>
    <n v="8.1549489395129612E-2"/>
    <n v="42152"/>
    <n v="193"/>
    <s v="#DiscoverWeekly"/>
    <m/>
    <x v="1"/>
    <n v="1661"/>
  </r>
  <r>
    <s v="SP073"/>
    <x v="2"/>
    <x v="70"/>
    <x v="2"/>
    <s v="Discover fresh beats on Spotify!"/>
    <n v="1085"/>
    <n v="496"/>
    <n v="320"/>
    <n v="36528"/>
    <n v="5.2042268944371438E-2"/>
    <n v="38599"/>
    <n v="270"/>
    <s v="#DiscoverWeekly"/>
    <s v="#SoundtrackOfLife"/>
    <x v="3"/>
    <n v="1901"/>
  </r>
  <r>
    <s v="SP074"/>
    <x v="1"/>
    <x v="71"/>
    <x v="1"/>
    <s v="Get into the groove with our new drop!"/>
    <n v="1763"/>
    <n v="206"/>
    <n v="187"/>
    <n v="53342"/>
    <n v="4.0418432004799221E-2"/>
    <n v="25095"/>
    <n v="88"/>
    <s v="#DiscoverWeekly"/>
    <s v="#MusicForEveryone"/>
    <x v="0"/>
    <n v="2156"/>
  </r>
  <r>
    <s v="SP075"/>
    <x v="1"/>
    <x v="72"/>
    <x v="1"/>
    <s v="From pop to podcasts, itâ€™s all here."/>
    <n v="1554"/>
    <n v="455"/>
    <n v="158"/>
    <n v="41947"/>
    <n v="5.1660428636136076E-2"/>
    <n v="48578"/>
    <n v="101"/>
    <s v="#SoundtrackOfLife"/>
    <s v="#NowPlaying"/>
    <x v="0"/>
    <n v="2167"/>
  </r>
  <r>
    <s v="SP076"/>
    <x v="0"/>
    <x v="42"/>
    <x v="0"/>
    <s v="Wrapped is here! Relive your top tracks ðŸŽ§"/>
    <n v="2464"/>
    <n v="401"/>
    <n v="78"/>
    <n v="38665"/>
    <n v="7.611534979956032E-2"/>
    <n v="73593"/>
    <n v="207"/>
    <s v="#DiscoverWeekly"/>
    <m/>
    <x v="1"/>
    <n v="2943"/>
  </r>
  <r>
    <s v="SP077"/>
    <x v="1"/>
    <x v="73"/>
    <x v="0"/>
    <s v="From pop to podcasts, itâ€™s all here."/>
    <n v="2418"/>
    <n v="161"/>
    <n v="360"/>
    <n v="30589"/>
    <n v="9.6080290300434801E-2"/>
    <n v="41383"/>
    <n v="88"/>
    <s v="#NowPlaying"/>
    <m/>
    <x v="0"/>
    <n v="2939"/>
  </r>
  <r>
    <s v="SP078"/>
    <x v="1"/>
    <x v="74"/>
    <x v="1"/>
    <s v="Discover fresh beats on Spotify!"/>
    <n v="2494"/>
    <n v="494"/>
    <n v="55"/>
    <n v="22580"/>
    <n v="0.13476527900797167"/>
    <n v="22214"/>
    <n v="109"/>
    <s v="#MusicForEveryone"/>
    <s v="#NowPlaying"/>
    <x v="0"/>
    <n v="3043"/>
  </r>
  <r>
    <s v="SP079"/>
    <x v="2"/>
    <x v="75"/>
    <x v="2"/>
    <s v="New music just dropped. Hit play!"/>
    <n v="4781"/>
    <n v="191"/>
    <n v="122"/>
    <n v="35535"/>
    <n v="0.14335162515829464"/>
    <n v="50777"/>
    <n v="128"/>
    <s v="#DiscoverWeekly"/>
    <s v="#SoundtrackOfLife"/>
    <x v="3"/>
    <n v="5094"/>
  </r>
  <r>
    <s v="SP080"/>
    <x v="0"/>
    <x v="76"/>
    <x v="0"/>
    <s v="Music that moves youâ€”only on Spotify."/>
    <n v="2284"/>
    <n v="187"/>
    <n v="260"/>
    <n v="37400"/>
    <n v="7.3021390374331557E-2"/>
    <n v="65014"/>
    <n v="157"/>
    <s v="#SoundtrackOfLife"/>
    <s v="#NowPlaying"/>
    <x v="0"/>
    <n v="2731"/>
  </r>
  <r>
    <s v="SP081"/>
    <x v="1"/>
    <x v="77"/>
    <x v="0"/>
    <s v="Get into the groove with our new drop!"/>
    <n v="4234"/>
    <n v="486"/>
    <n v="276"/>
    <n v="56623"/>
    <n v="8.8232696960599044E-2"/>
    <n v="41343"/>
    <n v="184"/>
    <s v="#SoundtrackOfLife"/>
    <m/>
    <x v="1"/>
    <n v="4996"/>
  </r>
  <r>
    <s v="SP082"/>
    <x v="0"/>
    <x v="78"/>
    <x v="0"/>
    <s v="Your weekend playlist is waiting."/>
    <n v="2102"/>
    <n v="181"/>
    <n v="306"/>
    <n v="43650"/>
    <n v="5.9312714776632303E-2"/>
    <n v="50079"/>
    <n v="182"/>
    <s v="#DiscoverWeekly"/>
    <m/>
    <x v="1"/>
    <n v="2589"/>
  </r>
  <r>
    <s v="SP083"/>
    <x v="1"/>
    <x v="79"/>
    <x v="1"/>
    <s v="Get into the groove with our new drop!"/>
    <n v="4845"/>
    <n v="158"/>
    <n v="84"/>
    <n v="34578"/>
    <n v="0.1471166637746544"/>
    <n v="51480"/>
    <n v="180"/>
    <s v="#SoundtrackOfLife"/>
    <s v="#NowPlaying"/>
    <x v="0"/>
    <n v="5087"/>
  </r>
  <r>
    <s v="SP084"/>
    <x v="1"/>
    <x v="80"/>
    <x v="0"/>
    <s v="Your weekend playlist is waiting."/>
    <n v="4247"/>
    <n v="390"/>
    <n v="213"/>
    <n v="29785"/>
    <n v="0.16283364109451065"/>
    <n v="57768"/>
    <n v="122"/>
    <s v="#NowPlaying"/>
    <m/>
    <x v="0"/>
    <n v="4850"/>
  </r>
  <r>
    <s v="SP085"/>
    <x v="0"/>
    <x v="81"/>
    <x v="0"/>
    <s v="Explore the latest podcasts now."/>
    <n v="2965"/>
    <n v="328"/>
    <n v="171"/>
    <n v="57685"/>
    <n v="6.0050273034584378E-2"/>
    <n v="67536"/>
    <n v="264"/>
    <s v="#SoundtrackOfLife"/>
    <s v="#NowPlaying"/>
    <x v="0"/>
    <n v="3464"/>
  </r>
  <r>
    <s v="SP086"/>
    <x v="1"/>
    <x v="23"/>
    <x v="1"/>
    <s v="Wrapped is here! Relive your top tracks ðŸŽ§"/>
    <n v="1371"/>
    <n v="139"/>
    <n v="96"/>
    <n v="36140"/>
    <n v="4.4438295517432211E-2"/>
    <n v="39395"/>
    <n v="169"/>
    <s v="#SoundtrackOfLife"/>
    <s v="#NowPlaying"/>
    <x v="0"/>
    <n v="1606"/>
  </r>
  <r>
    <s v="SP087"/>
    <x v="1"/>
    <x v="82"/>
    <x v="1"/>
    <s v="Discover fresh beats on Spotify!"/>
    <n v="2683"/>
    <n v="496"/>
    <n v="89"/>
    <n v="53435"/>
    <n v="6.1158416768035934E-2"/>
    <n v="30334"/>
    <n v="160"/>
    <s v="#SoundtrackOfLife"/>
    <s v="#NowPlaying"/>
    <x v="0"/>
    <n v="3268"/>
  </r>
  <r>
    <s v="SP088"/>
    <x v="1"/>
    <x v="83"/>
    <x v="1"/>
    <s v="Whatâ€™s your vibe today? #SpotifyHits"/>
    <n v="4796"/>
    <n v="427"/>
    <n v="339"/>
    <n v="30752"/>
    <n v="0.18086628511966701"/>
    <n v="33870"/>
    <n v="298"/>
    <s v="#SoundtrackOfLife"/>
    <s v="#NowPlaying"/>
    <x v="0"/>
    <n v="5562"/>
  </r>
  <r>
    <s v="SP089"/>
    <x v="0"/>
    <x v="8"/>
    <x v="0"/>
    <s v="Wrapped is here! Relive your top tracks ðŸŽ§"/>
    <n v="2601"/>
    <n v="336"/>
    <n v="260"/>
    <n v="32368"/>
    <n v="9.8770390509144837E-2"/>
    <n v="49028"/>
    <n v="120"/>
    <s v="#SoundtrackOfLife"/>
    <s v="#NowPlaying"/>
    <x v="0"/>
    <n v="3197"/>
  </r>
  <r>
    <s v="SP090"/>
    <x v="1"/>
    <x v="84"/>
    <x v="1"/>
    <s v="Wrapped is here! Relive your top tracks ðŸŽ§"/>
    <n v="3336"/>
    <n v="229"/>
    <n v="337"/>
    <n v="22117"/>
    <n v="0.17642537414658407"/>
    <n v="26205"/>
    <n v="160"/>
    <s v="#MusicForEveryone"/>
    <s v="#NowPlaying"/>
    <x v="0"/>
    <n v="3902"/>
  </r>
  <r>
    <s v="SP091"/>
    <x v="1"/>
    <x v="85"/>
    <x v="0"/>
    <s v="Explore the latest podcasts now."/>
    <n v="1165"/>
    <n v="294"/>
    <n v="163"/>
    <n v="20659"/>
    <n v="7.8512996756861422E-2"/>
    <n v="45926"/>
    <n v="111"/>
    <s v="#SoundtrackOfLife"/>
    <m/>
    <x v="1"/>
    <n v="1622"/>
  </r>
  <r>
    <s v="SP092"/>
    <x v="2"/>
    <x v="86"/>
    <x v="2"/>
    <s v="Explore the latest podcasts now."/>
    <n v="1948"/>
    <n v="155"/>
    <n v="315"/>
    <n v="30321"/>
    <n v="7.974671020085089E-2"/>
    <n v="57121"/>
    <n v="82"/>
    <s v="#DiscoverWeekly"/>
    <s v="#SoundtrackOfLife"/>
    <x v="3"/>
    <n v="2418"/>
  </r>
  <r>
    <s v="SP093"/>
    <x v="0"/>
    <x v="87"/>
    <x v="0"/>
    <s v="From pop to podcasts, itâ€™s all here."/>
    <n v="1100"/>
    <n v="229"/>
    <n v="312"/>
    <n v="25641"/>
    <n v="6.3999063999063993E-2"/>
    <n v="34601"/>
    <n v="169"/>
    <s v="#DiscoverWeekly"/>
    <m/>
    <x v="1"/>
    <n v="1641"/>
  </r>
  <r>
    <s v="SP094"/>
    <x v="1"/>
    <x v="88"/>
    <x v="1"/>
    <s v="Top trending tracks updated daily!"/>
    <n v="4628"/>
    <n v="257"/>
    <n v="397"/>
    <n v="36686"/>
    <n v="0.1439786294499264"/>
    <n v="54683"/>
    <n v="98"/>
    <s v="#SoundtrackOfLife"/>
    <s v="#NowPlaying"/>
    <x v="0"/>
    <n v="5282"/>
  </r>
  <r>
    <s v="SP095"/>
    <x v="0"/>
    <x v="89"/>
    <x v="1"/>
    <s v="Discover fresh beats on Spotify!"/>
    <n v="2319"/>
    <n v="484"/>
    <n v="193"/>
    <n v="21202"/>
    <n v="0.14130742382794076"/>
    <n v="18091"/>
    <n v="241"/>
    <s v="#NowPlaying"/>
    <m/>
    <x v="2"/>
    <n v="2996"/>
  </r>
  <r>
    <s v="SP096"/>
    <x v="1"/>
    <x v="90"/>
    <x v="1"/>
    <s v="Wrapped is here! Relive your top tracks ðŸŽ§"/>
    <n v="2895"/>
    <n v="292"/>
    <n v="90"/>
    <n v="24223"/>
    <n v="0.13528464682326713"/>
    <n v="54626"/>
    <n v="114"/>
    <s v="#SoundtrackOfLife"/>
    <s v="#NowPlaying"/>
    <x v="0"/>
    <n v="3277"/>
  </r>
  <r>
    <s v="SP097"/>
    <x v="0"/>
    <x v="91"/>
    <x v="0"/>
    <s v="Whatâ€™s your vibe today? #SpotifyHits"/>
    <n v="3878"/>
    <n v="431"/>
    <n v="97"/>
    <n v="41763"/>
    <n v="0.10550008380623997"/>
    <n v="29729"/>
    <n v="191"/>
    <s v="#DiscoverWeekly"/>
    <m/>
    <x v="1"/>
    <n v="4406"/>
  </r>
  <r>
    <s v="SP098"/>
    <x v="1"/>
    <x v="92"/>
    <x v="1"/>
    <s v="Get into the groove with our new drop!"/>
    <n v="4969"/>
    <n v="433"/>
    <n v="237"/>
    <n v="59552"/>
    <n v="9.4690354648038683E-2"/>
    <n v="23885"/>
    <n v="157"/>
    <s v="#DiscoverWeekly"/>
    <s v="#MusicForEveryone"/>
    <x v="0"/>
    <n v="5639"/>
  </r>
  <r>
    <s v="SP099"/>
    <x v="1"/>
    <x v="93"/>
    <x v="0"/>
    <s v="Wrapped is here! Relive your top tracks ðŸŽ§"/>
    <n v="1984"/>
    <n v="481"/>
    <n v="356"/>
    <n v="40681"/>
    <n v="6.934441139598338E-2"/>
    <n v="63111"/>
    <n v="258"/>
    <s v="#NowPlaying"/>
    <m/>
    <x v="0"/>
    <n v="2821"/>
  </r>
  <r>
    <s v="SP100"/>
    <x v="0"/>
    <x v="94"/>
    <x v="0"/>
    <s v="Discover fresh beats on Spotify!"/>
    <n v="3004"/>
    <n v="415"/>
    <n v="218"/>
    <n v="36090"/>
    <n v="0.10077583818232197"/>
    <n v="37073"/>
    <n v="181"/>
    <s v="#DiscoverWeekly"/>
    <m/>
    <x v="1"/>
    <n v="3637"/>
  </r>
  <r>
    <s v="SP101"/>
    <x v="1"/>
    <x v="95"/>
    <x v="0"/>
    <s v="Get into the groove with our new drop!"/>
    <n v="3169"/>
    <n v="386"/>
    <n v="175"/>
    <n v="45012"/>
    <n v="8.2866791077934779E-2"/>
    <n v="38508"/>
    <n v="218"/>
    <s v="#NowPlaying"/>
    <m/>
    <x v="0"/>
    <n v="3730"/>
  </r>
  <r>
    <s v="SP102"/>
    <x v="1"/>
    <x v="96"/>
    <x v="0"/>
    <s v="Discover fresh beats on Spotify!"/>
    <n v="3036"/>
    <n v="293"/>
    <n v="115"/>
    <n v="23776"/>
    <n v="0.14485195154777927"/>
    <n v="46386"/>
    <n v="282"/>
    <s v="#NowPlaying"/>
    <m/>
    <x v="0"/>
    <n v="3444"/>
  </r>
  <r>
    <s v="SP103"/>
    <x v="0"/>
    <x v="97"/>
    <x v="0"/>
    <s v="Music that moves youâ€”only on Spotify."/>
    <n v="1830"/>
    <n v="112"/>
    <n v="181"/>
    <n v="31870"/>
    <n v="6.6614370881706936E-2"/>
    <n v="55742"/>
    <n v="263"/>
    <s v="#SoundtrackOfLife"/>
    <s v="#NowPlaying"/>
    <x v="0"/>
    <n v="2123"/>
  </r>
  <r>
    <s v="SP104"/>
    <x v="1"/>
    <x v="98"/>
    <x v="1"/>
    <s v="Whatâ€™s your vibe today? #SpotifyHits"/>
    <n v="2587"/>
    <n v="447"/>
    <n v="183"/>
    <n v="36266"/>
    <n v="8.8705674736667947E-2"/>
    <n v="32877"/>
    <n v="132"/>
    <s v="#DiscoverWeekly"/>
    <s v="#MusicForEveryone"/>
    <x v="0"/>
    <n v="3217"/>
  </r>
  <r>
    <s v="SP105"/>
    <x v="1"/>
    <x v="99"/>
    <x v="0"/>
    <s v="Discover fresh beats on Spotify!"/>
    <n v="2878"/>
    <n v="265"/>
    <n v="91"/>
    <n v="52090"/>
    <n v="6.2084853138798232E-2"/>
    <n v="28924"/>
    <n v="133"/>
    <s v="#NowPlaying"/>
    <m/>
    <x v="0"/>
    <n v="3234"/>
  </r>
  <r>
    <s v="SP106"/>
    <x v="1"/>
    <x v="100"/>
    <x v="1"/>
    <s v="New music just dropped. Hit play!"/>
    <n v="4619"/>
    <n v="272"/>
    <n v="57"/>
    <n v="21334"/>
    <n v="0.23193025217961938"/>
    <n v="46292"/>
    <n v="91"/>
    <s v="#SoundtrackOfLife"/>
    <s v="#NowPlaying"/>
    <x v="0"/>
    <n v="4948"/>
  </r>
  <r>
    <s v="SP107"/>
    <x v="1"/>
    <x v="101"/>
    <x v="0"/>
    <s v="Music that moves youâ€”only on Spotify."/>
    <n v="4090"/>
    <n v="209"/>
    <n v="278"/>
    <n v="52853"/>
    <n v="8.6598679355949518E-2"/>
    <n v="57084"/>
    <n v="102"/>
    <s v="#SoundtrackOfLife"/>
    <m/>
    <x v="1"/>
    <n v="4577"/>
  </r>
  <r>
    <s v="SP108"/>
    <x v="2"/>
    <x v="102"/>
    <x v="2"/>
    <s v="Music that moves youâ€”only on Spotify."/>
    <n v="3882"/>
    <n v="342"/>
    <n v="374"/>
    <n v="41991"/>
    <n v="0.10949965468790931"/>
    <n v="48554"/>
    <n v="118"/>
    <s v="#DiscoverWeekly"/>
    <s v="#SoundtrackOfLife"/>
    <x v="3"/>
    <n v="4598"/>
  </r>
  <r>
    <s v="SP109"/>
    <x v="0"/>
    <x v="103"/>
    <x v="0"/>
    <s v="Music that moves youâ€”only on Spotify."/>
    <n v="4581"/>
    <n v="181"/>
    <n v="112"/>
    <n v="35221"/>
    <n v="0.13838335084182732"/>
    <n v="28797"/>
    <n v="164"/>
    <s v="#SoundtrackOfLife"/>
    <s v="#NowPlaying"/>
    <x v="0"/>
    <n v="4874"/>
  </r>
  <r>
    <s v="SP110"/>
    <x v="0"/>
    <x v="104"/>
    <x v="0"/>
    <s v="New music just dropped. Hit play!"/>
    <n v="3253"/>
    <n v="483"/>
    <n v="336"/>
    <n v="25397"/>
    <n v="0.16033389770445328"/>
    <n v="51485"/>
    <n v="131"/>
    <s v="#DiscoverWeekly"/>
    <m/>
    <x v="1"/>
    <n v="4072"/>
  </r>
  <r>
    <s v="SP111"/>
    <x v="2"/>
    <x v="105"/>
    <x v="2"/>
    <s v="Music that moves youâ€”only on Spotify."/>
    <n v="4955"/>
    <n v="299"/>
    <n v="345"/>
    <n v="33644"/>
    <n v="0.16641897515158721"/>
    <n v="43547"/>
    <n v="194"/>
    <s v="#DiscoverWeekly"/>
    <s v="#SoundtrackOfLife"/>
    <x v="3"/>
    <n v="5599"/>
  </r>
  <r>
    <s v="SP112"/>
    <x v="0"/>
    <x v="106"/>
    <x v="0"/>
    <s v="Your weekend playlist is waiting."/>
    <n v="1333"/>
    <n v="286"/>
    <n v="298"/>
    <n v="36174"/>
    <n v="5.2993862995521647E-2"/>
    <n v="34517"/>
    <n v="170"/>
    <s v="#SoundtrackOfLife"/>
    <s v="#NowPlaying"/>
    <x v="0"/>
    <n v="1917"/>
  </r>
  <r>
    <s v="SP113"/>
    <x v="0"/>
    <x v="107"/>
    <x v="0"/>
    <s v="New music just dropped. Hit play!"/>
    <n v="1616"/>
    <n v="360"/>
    <n v="180"/>
    <n v="54342"/>
    <n v="3.9674653122814763E-2"/>
    <n v="18796"/>
    <n v="282"/>
    <s v="#SoundtrackOfLife"/>
    <s v="#NowPlaying"/>
    <x v="0"/>
    <n v="2156"/>
  </r>
  <r>
    <s v="SP114"/>
    <x v="1"/>
    <x v="108"/>
    <x v="0"/>
    <s v="Top trending tracks updated daily!"/>
    <n v="1803"/>
    <n v="273"/>
    <n v="287"/>
    <n v="46176"/>
    <n v="5.1173769923769923E-2"/>
    <n v="25488"/>
    <n v="141"/>
    <s v="#NowPlaying"/>
    <m/>
    <x v="0"/>
    <n v="2363"/>
  </r>
  <r>
    <s v="SP115"/>
    <x v="0"/>
    <x v="109"/>
    <x v="0"/>
    <s v="Explore the latest podcasts now."/>
    <n v="4177"/>
    <n v="489"/>
    <n v="331"/>
    <n v="57451"/>
    <n v="8.6978468608031198E-2"/>
    <n v="73793"/>
    <n v="251"/>
    <s v="#DiscoverWeekly"/>
    <m/>
    <x v="1"/>
    <n v="4997"/>
  </r>
  <r>
    <s v="SP116"/>
    <x v="0"/>
    <x v="0"/>
    <x v="1"/>
    <s v="New music just dropped. Hit play!"/>
    <n v="1311"/>
    <n v="181"/>
    <n v="361"/>
    <n v="37148"/>
    <n v="4.9881554861634543E-2"/>
    <n v="44875"/>
    <n v="245"/>
    <s v="#NowPlaying"/>
    <m/>
    <x v="2"/>
    <n v="1853"/>
  </r>
  <r>
    <s v="SP117"/>
    <x v="0"/>
    <x v="110"/>
    <x v="1"/>
    <s v="From pop to podcasts, itâ€™s all here."/>
    <n v="1516"/>
    <n v="215"/>
    <n v="332"/>
    <n v="58981"/>
    <n v="3.4977365592309385E-2"/>
    <n v="36118"/>
    <n v="211"/>
    <s v="#NowPlaying"/>
    <m/>
    <x v="2"/>
    <n v="2063"/>
  </r>
  <r>
    <s v="SP118"/>
    <x v="1"/>
    <x v="111"/>
    <x v="1"/>
    <s v="Music that moves youâ€”only on Spotify."/>
    <n v="2023"/>
    <n v="124"/>
    <n v="99"/>
    <n v="54524"/>
    <n v="4.1192869195216787E-2"/>
    <n v="34790"/>
    <n v="195"/>
    <s v="#DiscoverWeekly"/>
    <s v="#MusicForEveryone"/>
    <x v="0"/>
    <n v="2246"/>
  </r>
  <r>
    <s v="SP119"/>
    <x v="1"/>
    <x v="112"/>
    <x v="1"/>
    <s v="Music that moves youâ€”only on Spotify."/>
    <n v="2134"/>
    <n v="322"/>
    <n v="114"/>
    <n v="44338"/>
    <n v="5.7963823356939871E-2"/>
    <n v="52165"/>
    <n v="176"/>
    <s v="#MusicForEveryone"/>
    <s v="#NowPlaying"/>
    <x v="0"/>
    <n v="2570"/>
  </r>
  <r>
    <s v="SP120"/>
    <x v="0"/>
    <x v="113"/>
    <x v="0"/>
    <s v="Top trending tracks updated daily!"/>
    <n v="2266"/>
    <n v="126"/>
    <n v="140"/>
    <n v="53759"/>
    <n v="4.7099090384865788E-2"/>
    <n v="46834"/>
    <n v="277"/>
    <s v="#DiscoverWeekly"/>
    <m/>
    <x v="1"/>
    <n v="2532"/>
  </r>
  <r>
    <s v="SP121"/>
    <x v="0"/>
    <x v="114"/>
    <x v="1"/>
    <s v="New music just dropped. Hit play!"/>
    <n v="3916"/>
    <n v="459"/>
    <n v="229"/>
    <n v="48989"/>
    <n v="9.3980281287635997E-2"/>
    <n v="39768"/>
    <n v="200"/>
    <s v="#NowPlaying"/>
    <m/>
    <x v="2"/>
    <n v="4604"/>
  </r>
  <r>
    <s v="SP122"/>
    <x v="1"/>
    <x v="115"/>
    <x v="1"/>
    <s v="Music that moves youâ€”only on Spotify."/>
    <n v="1022"/>
    <n v="463"/>
    <n v="360"/>
    <n v="51468"/>
    <n v="3.5847516903707161E-2"/>
    <n v="24279"/>
    <n v="230"/>
    <s v="#DiscoverWeekly"/>
    <s v="#MusicForEveryone"/>
    <x v="0"/>
    <n v="1845"/>
  </r>
  <r>
    <s v="SP123"/>
    <x v="2"/>
    <x v="116"/>
    <x v="0"/>
    <s v="From pop to podcasts, itâ€™s all here."/>
    <n v="2911"/>
    <n v="467"/>
    <n v="94"/>
    <n v="59083"/>
    <n v="5.8764788517847777E-2"/>
    <n v="49762"/>
    <n v="236"/>
    <s v="#DiscoverWeekly"/>
    <s v="#SpotifyWrapped"/>
    <x v="1"/>
    <n v="3472"/>
  </r>
  <r>
    <s v="SP124"/>
    <x v="1"/>
    <x v="6"/>
    <x v="1"/>
    <s v="New music just dropped. Hit play!"/>
    <n v="3277"/>
    <n v="423"/>
    <n v="259"/>
    <n v="46328"/>
    <n v="8.5455879813503707E-2"/>
    <n v="44293"/>
    <n v="299"/>
    <s v="#SoundtrackOfLife"/>
    <s v="#NowPlaying"/>
    <x v="0"/>
    <n v="3959"/>
  </r>
  <r>
    <s v="SP125"/>
    <x v="1"/>
    <x v="117"/>
    <x v="0"/>
    <s v="From pop to podcasts, itâ€™s all here."/>
    <n v="2956"/>
    <n v="381"/>
    <n v="345"/>
    <n v="33347"/>
    <n v="0.11041472996071611"/>
    <n v="22558"/>
    <n v="173"/>
    <s v="#NowPlaying"/>
    <m/>
    <x v="0"/>
    <n v="3682"/>
  </r>
  <r>
    <s v="SP126"/>
    <x v="1"/>
    <x v="118"/>
    <x v="1"/>
    <s v="Whatâ€™s your vibe today? #SpotifyHits"/>
    <n v="3208"/>
    <n v="476"/>
    <n v="277"/>
    <n v="56072"/>
    <n v="7.064131830503638E-2"/>
    <n v="21061"/>
    <n v="113"/>
    <s v="#MusicForEveryone"/>
    <s v="#NowPlaying"/>
    <x v="0"/>
    <n v="3961"/>
  </r>
  <r>
    <s v="SP127"/>
    <x v="1"/>
    <x v="119"/>
    <x v="0"/>
    <s v="Music that moves youâ€”only on Spotify."/>
    <n v="1456"/>
    <n v="265"/>
    <n v="137"/>
    <n v="53485"/>
    <n v="3.4738711788351875E-2"/>
    <n v="59729"/>
    <n v="145"/>
    <s v="#SoundtrackOfLife"/>
    <m/>
    <x v="1"/>
    <n v="1858"/>
  </r>
  <r>
    <s v="SP128"/>
    <x v="0"/>
    <x v="120"/>
    <x v="0"/>
    <s v="New music just dropped. Hit play!"/>
    <n v="1902"/>
    <n v="394"/>
    <n v="279"/>
    <n v="24615"/>
    <n v="0.10461100954702417"/>
    <n v="51330"/>
    <n v="176"/>
    <s v="#SoundtrackOfLife"/>
    <s v="#NowPlaying"/>
    <x v="0"/>
    <n v="2575"/>
  </r>
  <r>
    <s v="SP129"/>
    <x v="1"/>
    <x v="121"/>
    <x v="1"/>
    <s v="Explore the latest podcasts now."/>
    <n v="3219"/>
    <n v="424"/>
    <n v="267"/>
    <n v="48879"/>
    <n v="7.9993453221219743E-2"/>
    <n v="37691"/>
    <n v="224"/>
    <s v="#DiscoverWeekly"/>
    <s v="#MusicForEveryone"/>
    <x v="0"/>
    <n v="3910"/>
  </r>
  <r>
    <s v="SP130"/>
    <x v="2"/>
    <x v="122"/>
    <x v="0"/>
    <s v="Explore the latest podcasts now."/>
    <n v="1261"/>
    <n v="190"/>
    <n v="233"/>
    <n v="59888"/>
    <n v="2.811915575741384E-2"/>
    <n v="51449"/>
    <n v="205"/>
    <s v="#DiscoverWeekly"/>
    <s v="#SpotifyWrapped"/>
    <x v="1"/>
    <n v="1684"/>
  </r>
  <r>
    <s v="SP131"/>
    <x v="1"/>
    <x v="123"/>
    <x v="0"/>
    <s v="Your weekend playlist is waiting."/>
    <n v="1564"/>
    <n v="362"/>
    <n v="371"/>
    <n v="42075"/>
    <n v="5.4592988710635768E-2"/>
    <n v="66659"/>
    <n v="205"/>
    <s v="#SoundtrackOfLife"/>
    <m/>
    <x v="1"/>
    <n v="2297"/>
  </r>
  <r>
    <s v="SP132"/>
    <x v="1"/>
    <x v="124"/>
    <x v="0"/>
    <s v="Whatâ€™s your vibe today? #SpotifyHits"/>
    <n v="4006"/>
    <n v="420"/>
    <n v="194"/>
    <n v="49964"/>
    <n v="9.2466575934672959E-2"/>
    <n v="20685"/>
    <n v="148"/>
    <s v="#NowPlaying"/>
    <m/>
    <x v="0"/>
    <n v="4620"/>
  </r>
  <r>
    <s v="SP133"/>
    <x v="2"/>
    <x v="125"/>
    <x v="0"/>
    <s v="Your weekend playlist is waiting."/>
    <n v="1976"/>
    <n v="262"/>
    <n v="218"/>
    <n v="51696"/>
    <n v="4.7508511296812134E-2"/>
    <n v="44846"/>
    <n v="139"/>
    <s v="#DiscoverWeekly"/>
    <s v="#SpotifyWrapped"/>
    <x v="1"/>
    <n v="2456"/>
  </r>
  <r>
    <s v="SP134"/>
    <x v="1"/>
    <x v="126"/>
    <x v="0"/>
    <s v="New music just dropped. Hit play!"/>
    <n v="1583"/>
    <n v="433"/>
    <n v="249"/>
    <n v="30256"/>
    <n v="7.4861184558434685E-2"/>
    <n v="47066"/>
    <n v="196"/>
    <s v="#NowPlaying"/>
    <m/>
    <x v="0"/>
    <n v="2265"/>
  </r>
  <r>
    <s v="SP135"/>
    <x v="1"/>
    <x v="127"/>
    <x v="1"/>
    <s v="Explore the latest podcasts now."/>
    <n v="2870"/>
    <n v="380"/>
    <n v="393"/>
    <n v="37621"/>
    <n v="9.6834214933149046E-2"/>
    <n v="71794"/>
    <n v="127"/>
    <s v="#MusicForEveryone"/>
    <s v="#NowPlaying"/>
    <x v="0"/>
    <n v="3643"/>
  </r>
  <r>
    <s v="SP136"/>
    <x v="1"/>
    <x v="128"/>
    <x v="0"/>
    <s v="Top trending tracks updated daily!"/>
    <n v="3728"/>
    <n v="271"/>
    <n v="275"/>
    <n v="22827"/>
    <n v="0.18723441538528934"/>
    <n v="37034"/>
    <n v="199"/>
    <s v="#NowPlaying"/>
    <m/>
    <x v="0"/>
    <n v="4274"/>
  </r>
  <r>
    <s v="SP137"/>
    <x v="1"/>
    <x v="129"/>
    <x v="1"/>
    <s v="New music just dropped. Hit play!"/>
    <n v="4965"/>
    <n v="175"/>
    <n v="307"/>
    <n v="32793"/>
    <n v="0.16610252187966945"/>
    <n v="43412"/>
    <n v="296"/>
    <s v="#SoundtrackOfLife"/>
    <s v="#NowPlaying"/>
    <x v="0"/>
    <n v="5447"/>
  </r>
  <r>
    <s v="SP138"/>
    <x v="1"/>
    <x v="130"/>
    <x v="1"/>
    <s v="New music just dropped. Hit play!"/>
    <n v="1131"/>
    <n v="100"/>
    <n v="116"/>
    <n v="48437"/>
    <n v="2.7809319322005904E-2"/>
    <n v="72704"/>
    <n v="236"/>
    <s v="#DiscoverWeekly"/>
    <s v="#MusicForEveryone"/>
    <x v="0"/>
    <n v="1347"/>
  </r>
  <r>
    <s v="SP139"/>
    <x v="1"/>
    <x v="131"/>
    <x v="0"/>
    <s v="Your weekend playlist is waiting."/>
    <n v="2754"/>
    <n v="215"/>
    <n v="264"/>
    <n v="27762"/>
    <n v="0.11645414595490239"/>
    <n v="70203"/>
    <n v="289"/>
    <s v="#NowPlaying"/>
    <m/>
    <x v="0"/>
    <n v="3233"/>
  </r>
  <r>
    <s v="SP140"/>
    <x v="1"/>
    <x v="132"/>
    <x v="1"/>
    <s v="New music just dropped. Hit play!"/>
    <n v="1856"/>
    <n v="357"/>
    <n v="348"/>
    <n v="29428"/>
    <n v="8.702596166915863E-2"/>
    <n v="70206"/>
    <n v="236"/>
    <s v="#MusicForEveryone"/>
    <s v="#NowPlaying"/>
    <x v="0"/>
    <n v="2561"/>
  </r>
  <r>
    <s v="SP141"/>
    <x v="2"/>
    <x v="133"/>
    <x v="2"/>
    <s v="Explore the latest podcasts now."/>
    <n v="3543"/>
    <n v="334"/>
    <n v="218"/>
    <n v="58007"/>
    <n v="7.0594928198320889E-2"/>
    <n v="24792"/>
    <n v="273"/>
    <s v="#DiscoverWeekly"/>
    <s v="#SoundtrackOfLife"/>
    <x v="3"/>
    <n v="4095"/>
  </r>
  <r>
    <s v="SP142"/>
    <x v="0"/>
    <x v="134"/>
    <x v="1"/>
    <s v="New music just dropped. Hit play!"/>
    <n v="4563"/>
    <n v="398"/>
    <n v="163"/>
    <n v="43679"/>
    <n v="0.11731037798484398"/>
    <n v="48760"/>
    <n v="92"/>
    <s v="#NowPlaying"/>
    <m/>
    <x v="2"/>
    <n v="5124"/>
  </r>
  <r>
    <s v="SP143"/>
    <x v="0"/>
    <x v="135"/>
    <x v="0"/>
    <s v="Discover fresh beats on Spotify!"/>
    <n v="4283"/>
    <n v="471"/>
    <n v="156"/>
    <n v="53004"/>
    <n v="9.2634518149573616E-2"/>
    <n v="25678"/>
    <n v="105"/>
    <s v="#DiscoverWeekly"/>
    <m/>
    <x v="1"/>
    <n v="4910"/>
  </r>
  <r>
    <s v="SP144"/>
    <x v="0"/>
    <x v="40"/>
    <x v="0"/>
    <s v="Discover fresh beats on Spotify!"/>
    <n v="2329"/>
    <n v="373"/>
    <n v="291"/>
    <n v="49577"/>
    <n v="6.0370736430199488E-2"/>
    <n v="28002"/>
    <n v="82"/>
    <s v="#SoundtrackOfLife"/>
    <s v="#NowPlaying"/>
    <x v="0"/>
    <n v="2993"/>
  </r>
  <r>
    <s v="SP145"/>
    <x v="1"/>
    <x v="73"/>
    <x v="1"/>
    <s v="Top trending tracks updated daily!"/>
    <n v="4287"/>
    <n v="273"/>
    <n v="122"/>
    <n v="40792"/>
    <n v="0.11477740733477153"/>
    <n v="23878"/>
    <n v="277"/>
    <s v="#MusicForEveryone"/>
    <s v="#NowPlaying"/>
    <x v="0"/>
    <n v="4682"/>
  </r>
  <r>
    <s v="SP146"/>
    <x v="0"/>
    <x v="136"/>
    <x v="0"/>
    <s v="Discover fresh beats on Spotify!"/>
    <n v="2633"/>
    <n v="318"/>
    <n v="380"/>
    <n v="40869"/>
    <n v="8.1504318676747664E-2"/>
    <n v="64474"/>
    <n v="245"/>
    <s v="#DiscoverWeekly"/>
    <m/>
    <x v="1"/>
    <n v="3331"/>
  </r>
  <r>
    <s v="SP147"/>
    <x v="1"/>
    <x v="137"/>
    <x v="1"/>
    <s v="Discover fresh beats on Spotify!"/>
    <n v="2383"/>
    <n v="136"/>
    <n v="302"/>
    <n v="39187"/>
    <n v="7.1988159338556151E-2"/>
    <n v="22133"/>
    <n v="208"/>
    <s v="#MusicForEveryone"/>
    <s v="#NowPlaying"/>
    <x v="0"/>
    <n v="2821"/>
  </r>
  <r>
    <s v="SP148"/>
    <x v="1"/>
    <x v="138"/>
    <x v="1"/>
    <s v="Your weekend playlist is waiting."/>
    <n v="4752"/>
    <n v="334"/>
    <n v="56"/>
    <n v="48017"/>
    <n v="0.10708707332819627"/>
    <n v="55534"/>
    <n v="270"/>
    <s v="#DiscoverWeekly"/>
    <s v="#MusicForEveryone"/>
    <x v="0"/>
    <n v="5142"/>
  </r>
  <r>
    <s v="SP149"/>
    <x v="1"/>
    <x v="139"/>
    <x v="0"/>
    <s v="From pop to podcasts, itâ€™s all here."/>
    <n v="3890"/>
    <n v="408"/>
    <n v="338"/>
    <n v="56994"/>
    <n v="8.1341895638137346E-2"/>
    <n v="32621"/>
    <n v="286"/>
    <s v="#SoundtrackOfLife"/>
    <m/>
    <x v="1"/>
    <n v="4636"/>
  </r>
  <r>
    <s v="SP150"/>
    <x v="1"/>
    <x v="140"/>
    <x v="1"/>
    <s v="Your weekend playlist is waiting."/>
    <n v="2311"/>
    <n v="207"/>
    <n v="363"/>
    <n v="30349"/>
    <n v="9.4928992718046723E-2"/>
    <n v="32925"/>
    <n v="88"/>
    <s v="#MusicForEveryone"/>
    <s v="#NowPlaying"/>
    <x v="0"/>
    <n v="2881"/>
  </r>
  <r>
    <s v="SP151"/>
    <x v="0"/>
    <x v="50"/>
    <x v="1"/>
    <s v="Discover fresh beats on Spotify!"/>
    <n v="2962"/>
    <n v="400"/>
    <n v="280"/>
    <n v="52508"/>
    <n v="6.9360859297630834E-2"/>
    <n v="58329"/>
    <n v="219"/>
    <s v="#NowPlaying"/>
    <m/>
    <x v="2"/>
    <n v="3642"/>
  </r>
  <r>
    <s v="SP152"/>
    <x v="0"/>
    <x v="141"/>
    <x v="0"/>
    <s v="Discover fresh beats on Spotify!"/>
    <n v="3118"/>
    <n v="116"/>
    <n v="195"/>
    <n v="37100"/>
    <n v="9.2425876010781671E-2"/>
    <n v="62629"/>
    <n v="272"/>
    <s v="#DiscoverWeekly"/>
    <m/>
    <x v="1"/>
    <n v="3429"/>
  </r>
  <r>
    <s v="SP153"/>
    <x v="1"/>
    <x v="142"/>
    <x v="1"/>
    <s v="Explore the latest podcasts now."/>
    <n v="3805"/>
    <n v="453"/>
    <n v="63"/>
    <n v="52395"/>
    <n v="8.2469701307376658E-2"/>
    <n v="72934"/>
    <n v="87"/>
    <s v="#DiscoverWeekly"/>
    <s v="#MusicForEveryone"/>
    <x v="0"/>
    <n v="4321"/>
  </r>
  <r>
    <s v="SP154"/>
    <x v="0"/>
    <x v="128"/>
    <x v="0"/>
    <s v="Whatâ€™s your vibe today? #SpotifyHits"/>
    <n v="2525"/>
    <n v="272"/>
    <n v="294"/>
    <n v="51875"/>
    <n v="5.9585542168674697E-2"/>
    <n v="24732"/>
    <n v="92"/>
    <s v="#DiscoverWeekly"/>
    <m/>
    <x v="1"/>
    <n v="3091"/>
  </r>
  <r>
    <s v="SP155"/>
    <x v="0"/>
    <x v="143"/>
    <x v="0"/>
    <s v="Music that moves youâ€”only on Spotify."/>
    <n v="3563"/>
    <n v="483"/>
    <n v="227"/>
    <n v="41085"/>
    <n v="0.10400389436534015"/>
    <n v="26393"/>
    <n v="236"/>
    <s v="#SoundtrackOfLife"/>
    <s v="#NowPlaying"/>
    <x v="0"/>
    <n v="4273"/>
  </r>
  <r>
    <s v="SP156"/>
    <x v="2"/>
    <x v="144"/>
    <x v="2"/>
    <s v="Whatâ€™s your vibe today? #SpotifyHits"/>
    <n v="1437"/>
    <n v="494"/>
    <n v="129"/>
    <n v="53048"/>
    <n v="3.8832755240536872E-2"/>
    <n v="44090"/>
    <n v="230"/>
    <s v="#DiscoverWeekly"/>
    <s v="#SoundtrackOfLife"/>
    <x v="3"/>
    <n v="2060"/>
  </r>
  <r>
    <s v="SP157"/>
    <x v="2"/>
    <x v="145"/>
    <x v="0"/>
    <s v="From pop to podcasts, itâ€™s all here."/>
    <n v="4425"/>
    <n v="185"/>
    <n v="162"/>
    <n v="24610"/>
    <n v="0.19390491670052823"/>
    <n v="21342"/>
    <n v="158"/>
    <s v="#DiscoverWeekly"/>
    <s v="#SpotifyWrapped"/>
    <x v="1"/>
    <n v="4772"/>
  </r>
  <r>
    <s v="SP158"/>
    <x v="1"/>
    <x v="146"/>
    <x v="1"/>
    <s v="New music just dropped. Hit play!"/>
    <n v="4609"/>
    <n v="427"/>
    <n v="395"/>
    <n v="33698"/>
    <n v="0.16116683482699271"/>
    <n v="29259"/>
    <n v="216"/>
    <s v="#DiscoverWeekly"/>
    <s v="#MusicForEveryone"/>
    <x v="0"/>
    <n v="5431"/>
  </r>
  <r>
    <s v="SP159"/>
    <x v="0"/>
    <x v="147"/>
    <x v="1"/>
    <s v="Get into the groove with our new drop!"/>
    <n v="1558"/>
    <n v="352"/>
    <n v="202"/>
    <n v="25405"/>
    <n v="8.3133241487896081E-2"/>
    <n v="69941"/>
    <n v="219"/>
    <s v="#NowPlaying"/>
    <m/>
    <x v="2"/>
    <n v="2112"/>
  </r>
  <r>
    <s v="SP160"/>
    <x v="2"/>
    <x v="148"/>
    <x v="2"/>
    <s v="Top trending tracks updated daily!"/>
    <n v="1889"/>
    <n v="298"/>
    <n v="122"/>
    <n v="46225"/>
    <n v="4.9951325040562468E-2"/>
    <n v="74305"/>
    <n v="293"/>
    <s v="#DiscoverWeekly"/>
    <s v="#SoundtrackOfLife"/>
    <x v="3"/>
    <n v="2309"/>
  </r>
  <r>
    <s v="SP161"/>
    <x v="0"/>
    <x v="149"/>
    <x v="0"/>
    <s v="Discover fresh beats on Spotify!"/>
    <n v="3086"/>
    <n v="148"/>
    <n v="310"/>
    <n v="22824"/>
    <n v="0.1552751489660007"/>
    <n v="58103"/>
    <n v="275"/>
    <s v="#DiscoverWeekly"/>
    <m/>
    <x v="1"/>
    <n v="3544"/>
  </r>
  <r>
    <s v="SP162"/>
    <x v="0"/>
    <x v="150"/>
    <x v="0"/>
    <s v="Music that moves youâ€”only on Spotify."/>
    <n v="2422"/>
    <n v="318"/>
    <n v="118"/>
    <n v="25386"/>
    <n v="0.11258173796580792"/>
    <n v="20873"/>
    <n v="100"/>
    <s v="#SoundtrackOfLife"/>
    <s v="#NowPlaying"/>
    <x v="0"/>
    <n v="2858"/>
  </r>
  <r>
    <s v="SP163"/>
    <x v="2"/>
    <x v="151"/>
    <x v="2"/>
    <s v="From pop to podcasts, itâ€™s all here."/>
    <n v="3414"/>
    <n v="154"/>
    <n v="204"/>
    <n v="34146"/>
    <n v="0.11046681895390383"/>
    <n v="44633"/>
    <n v="256"/>
    <s v="#DiscoverWeekly"/>
    <s v="#SoundtrackOfLife"/>
    <x v="3"/>
    <n v="3772"/>
  </r>
  <r>
    <s v="SP164"/>
    <x v="0"/>
    <x v="152"/>
    <x v="1"/>
    <s v="Whatâ€™s your vibe today? #SpotifyHits"/>
    <n v="1342"/>
    <n v="332"/>
    <n v="163"/>
    <n v="51712"/>
    <n v="3.5523669554455448E-2"/>
    <n v="57922"/>
    <n v="168"/>
    <s v="#NowPlaying"/>
    <m/>
    <x v="2"/>
    <n v="1837"/>
  </r>
  <r>
    <s v="SP165"/>
    <x v="0"/>
    <x v="52"/>
    <x v="1"/>
    <s v="Music that moves youâ€”only on Spotify."/>
    <n v="2414"/>
    <n v="220"/>
    <n v="280"/>
    <n v="27355"/>
    <n v="0.10652531529884847"/>
    <n v="50562"/>
    <n v="258"/>
    <s v="#NowPlaying"/>
    <m/>
    <x v="2"/>
    <n v="2914"/>
  </r>
  <r>
    <s v="SP166"/>
    <x v="0"/>
    <x v="129"/>
    <x v="0"/>
    <s v="New music just dropped. Hit play!"/>
    <n v="4383"/>
    <n v="352"/>
    <n v="176"/>
    <n v="53239"/>
    <n v="9.2244407295403744E-2"/>
    <n v="34168"/>
    <n v="288"/>
    <s v="#DiscoverWeekly"/>
    <m/>
    <x v="1"/>
    <n v="4911"/>
  </r>
  <r>
    <s v="SP167"/>
    <x v="2"/>
    <x v="153"/>
    <x v="0"/>
    <s v="Wrapped is here! Relive your top tracks ðŸŽ§"/>
    <n v="4294"/>
    <n v="423"/>
    <n v="93"/>
    <n v="29828"/>
    <n v="0.1612578785034196"/>
    <n v="73144"/>
    <n v="298"/>
    <s v="#DiscoverWeekly"/>
    <s v="#SpotifyWrapped"/>
    <x v="1"/>
    <n v="4810"/>
  </r>
  <r>
    <s v="SP168"/>
    <x v="0"/>
    <x v="154"/>
    <x v="0"/>
    <s v="Top trending tracks updated daily!"/>
    <n v="2762"/>
    <n v="339"/>
    <n v="323"/>
    <n v="33757"/>
    <n v="0.10143081434961637"/>
    <n v="68511"/>
    <n v="121"/>
    <s v="#SoundtrackOfLife"/>
    <s v="#NowPlaying"/>
    <x v="0"/>
    <n v="3424"/>
  </r>
  <r>
    <s v="SP169"/>
    <x v="2"/>
    <x v="79"/>
    <x v="0"/>
    <s v="New music just dropped. Hit play!"/>
    <n v="3782"/>
    <n v="484"/>
    <n v="144"/>
    <n v="52172"/>
    <n v="8.4528099363643333E-2"/>
    <n v="59386"/>
    <n v="175"/>
    <s v="#DiscoverWeekly"/>
    <s v="#SpotifyWrapped"/>
    <x v="1"/>
    <n v="4410"/>
  </r>
  <r>
    <s v="SP170"/>
    <x v="1"/>
    <x v="155"/>
    <x v="0"/>
    <s v="New music just dropped. Hit play!"/>
    <n v="4318"/>
    <n v="371"/>
    <n v="329"/>
    <n v="32347"/>
    <n v="0.15513030574705536"/>
    <n v="68956"/>
    <n v="259"/>
    <s v="#SoundtrackOfLife"/>
    <m/>
    <x v="1"/>
    <n v="5018"/>
  </r>
  <r>
    <s v="SP171"/>
    <x v="0"/>
    <x v="156"/>
    <x v="1"/>
    <s v="Wrapped is here! Relive your top tracks ðŸŽ§"/>
    <n v="2335"/>
    <n v="150"/>
    <n v="75"/>
    <n v="26114"/>
    <n v="9.8031707130274953E-2"/>
    <n v="57549"/>
    <n v="135"/>
    <s v="#NowPlaying"/>
    <m/>
    <x v="2"/>
    <n v="2560"/>
  </r>
  <r>
    <s v="SP172"/>
    <x v="2"/>
    <x v="157"/>
    <x v="0"/>
    <s v="Explore the latest podcasts now."/>
    <n v="4023"/>
    <n v="293"/>
    <n v="91"/>
    <n v="26795"/>
    <n v="0.16447098339242397"/>
    <n v="28924"/>
    <n v="278"/>
    <s v="#DiscoverWeekly"/>
    <s v="#SpotifyWrapped"/>
    <x v="1"/>
    <n v="4407"/>
  </r>
  <r>
    <s v="SP173"/>
    <x v="0"/>
    <x v="158"/>
    <x v="0"/>
    <s v="Get into the groove with our new drop!"/>
    <n v="3948"/>
    <n v="151"/>
    <n v="249"/>
    <n v="43147"/>
    <n v="0.10077178019329269"/>
    <n v="63136"/>
    <n v="230"/>
    <s v="#DiscoverWeekly"/>
    <m/>
    <x v="1"/>
    <n v="4348"/>
  </r>
  <r>
    <s v="SP174"/>
    <x v="2"/>
    <x v="159"/>
    <x v="0"/>
    <s v="Wrapped is here! Relive your top tracks ðŸŽ§"/>
    <n v="4598"/>
    <n v="455"/>
    <n v="378"/>
    <n v="52952"/>
    <n v="0.10256458679558846"/>
    <n v="58504"/>
    <n v="269"/>
    <s v="#DiscoverWeekly"/>
    <s v="#SpotifyWrapped"/>
    <x v="1"/>
    <n v="5431"/>
  </r>
  <r>
    <s v="SP175"/>
    <x v="1"/>
    <x v="160"/>
    <x v="1"/>
    <s v="Music that moves youâ€”only on Spotify."/>
    <n v="2665"/>
    <n v="143"/>
    <n v="315"/>
    <n v="54808"/>
    <n v="5.6980732739746021E-2"/>
    <n v="29818"/>
    <n v="98"/>
    <s v="#DiscoverWeekly"/>
    <s v="#MusicForEveryone"/>
    <x v="0"/>
    <n v="3123"/>
  </r>
  <r>
    <s v="SP176"/>
    <x v="0"/>
    <x v="161"/>
    <x v="0"/>
    <s v="Top trending tracks updated daily!"/>
    <n v="3469"/>
    <n v="371"/>
    <n v="76"/>
    <n v="46493"/>
    <n v="8.4227733207149463E-2"/>
    <n v="26906"/>
    <n v="150"/>
    <s v="#SoundtrackOfLife"/>
    <s v="#NowPlaying"/>
    <x v="0"/>
    <n v="3916"/>
  </r>
  <r>
    <s v="SP177"/>
    <x v="1"/>
    <x v="162"/>
    <x v="0"/>
    <s v="Explore the latest podcasts now."/>
    <n v="4823"/>
    <n v="489"/>
    <n v="302"/>
    <n v="32470"/>
    <n v="0.1728980597474592"/>
    <n v="31861"/>
    <n v="178"/>
    <s v="#SoundtrackOfLife"/>
    <m/>
    <x v="1"/>
    <n v="5614"/>
  </r>
  <r>
    <s v="SP178"/>
    <x v="0"/>
    <x v="163"/>
    <x v="1"/>
    <s v="From pop to podcasts, itâ€™s all here."/>
    <n v="3812"/>
    <n v="321"/>
    <n v="289"/>
    <n v="59838"/>
    <n v="7.3899528727564417E-2"/>
    <n v="36337"/>
    <n v="161"/>
    <s v="#NowPlaying"/>
    <m/>
    <x v="2"/>
    <n v="4422"/>
  </r>
  <r>
    <s v="SP179"/>
    <x v="1"/>
    <x v="128"/>
    <x v="0"/>
    <s v="Explore the latest podcasts now."/>
    <n v="2387"/>
    <n v="353"/>
    <n v="78"/>
    <n v="39745"/>
    <n v="7.090200025160398E-2"/>
    <n v="69226"/>
    <n v="208"/>
    <s v="#SoundtrackOfLife"/>
    <m/>
    <x v="1"/>
    <n v="2818"/>
  </r>
  <r>
    <s v="SP180"/>
    <x v="1"/>
    <x v="114"/>
    <x v="1"/>
    <s v="Wrapped is here! Relive your top tracks ðŸŽ§"/>
    <n v="3929"/>
    <n v="275"/>
    <n v="330"/>
    <n v="58329"/>
    <n v="7.7731488624869283E-2"/>
    <n v="33196"/>
    <n v="85"/>
    <s v="#MusicForEveryone"/>
    <s v="#NowPlaying"/>
    <x v="0"/>
    <n v="4534"/>
  </r>
  <r>
    <s v="SP181"/>
    <x v="1"/>
    <x v="164"/>
    <x v="0"/>
    <s v="From pop to podcasts, itâ€™s all here."/>
    <n v="2191"/>
    <n v="288"/>
    <n v="83"/>
    <n v="59606"/>
    <n v="4.2982250109049422E-2"/>
    <n v="24765"/>
    <n v="281"/>
    <s v="#SoundtrackOfLife"/>
    <m/>
    <x v="1"/>
    <n v="2562"/>
  </r>
  <r>
    <s v="SP182"/>
    <x v="0"/>
    <x v="164"/>
    <x v="0"/>
    <s v="From pop to podcasts, itâ€™s all here."/>
    <n v="2878"/>
    <n v="278"/>
    <n v="255"/>
    <n v="47235"/>
    <n v="7.2213401079707848E-2"/>
    <n v="57922"/>
    <n v="112"/>
    <s v="#SoundtrackOfLife"/>
    <s v="#NowPlaying"/>
    <x v="0"/>
    <n v="3411"/>
  </r>
  <r>
    <s v="SP183"/>
    <x v="1"/>
    <x v="165"/>
    <x v="0"/>
    <s v="Top trending tracks updated daily!"/>
    <n v="3204"/>
    <n v="398"/>
    <n v="85"/>
    <n v="22020"/>
    <n v="0.16743869209809265"/>
    <n v="58353"/>
    <n v="286"/>
    <s v="#SoundtrackOfLife"/>
    <m/>
    <x v="1"/>
    <n v="3687"/>
  </r>
  <r>
    <s v="SP184"/>
    <x v="1"/>
    <x v="166"/>
    <x v="1"/>
    <s v="Get into the groove with our new drop!"/>
    <n v="2408"/>
    <n v="323"/>
    <n v="251"/>
    <n v="47599"/>
    <n v="6.2648374965860634E-2"/>
    <n v="35543"/>
    <n v="287"/>
    <s v="#MusicForEveryone"/>
    <s v="#NowPlaying"/>
    <x v="0"/>
    <n v="2982"/>
  </r>
  <r>
    <s v="SP185"/>
    <x v="2"/>
    <x v="47"/>
    <x v="2"/>
    <s v="New music just dropped. Hit play!"/>
    <n v="2733"/>
    <n v="297"/>
    <n v="235"/>
    <n v="37980"/>
    <n v="8.5966298051606105E-2"/>
    <n v="33058"/>
    <n v="219"/>
    <s v="#DiscoverWeekly"/>
    <s v="#SoundtrackOfLife"/>
    <x v="3"/>
    <n v="3265"/>
  </r>
  <r>
    <s v="SP186"/>
    <x v="1"/>
    <x v="167"/>
    <x v="1"/>
    <s v="Explore the latest podcasts now."/>
    <n v="4618"/>
    <n v="312"/>
    <n v="254"/>
    <n v="22571"/>
    <n v="0.22967524699836073"/>
    <n v="29453"/>
    <n v="197"/>
    <s v="#MusicForEveryone"/>
    <s v="#NowPlaying"/>
    <x v="0"/>
    <n v="5184"/>
  </r>
  <r>
    <s v="SP187"/>
    <x v="2"/>
    <x v="168"/>
    <x v="2"/>
    <s v="Wrapped is here! Relive your top tracks ðŸŽ§"/>
    <n v="4210"/>
    <n v="319"/>
    <n v="350"/>
    <n v="37762"/>
    <n v="0.12920396165457337"/>
    <n v="55162"/>
    <n v="204"/>
    <s v="#DiscoverWeekly"/>
    <s v="#SoundtrackOfLife"/>
    <x v="3"/>
    <n v="4879"/>
  </r>
  <r>
    <s v="SP188"/>
    <x v="0"/>
    <x v="169"/>
    <x v="0"/>
    <s v="Wrapped is here! Relive your top tracks ðŸŽ§"/>
    <n v="3987"/>
    <n v="171"/>
    <n v="274"/>
    <n v="45122"/>
    <n v="9.8222596516111871E-2"/>
    <n v="65431"/>
    <n v="168"/>
    <s v="#DiscoverWeekly"/>
    <m/>
    <x v="1"/>
    <n v="4432"/>
  </r>
  <r>
    <s v="SP189"/>
    <x v="2"/>
    <x v="170"/>
    <x v="2"/>
    <s v="Get into the groove with our new drop!"/>
    <n v="4957"/>
    <n v="262"/>
    <n v="365"/>
    <n v="49199"/>
    <n v="0.11349824183418362"/>
    <n v="40314"/>
    <n v="216"/>
    <s v="#DiscoverWeekly"/>
    <s v="#SoundtrackOfLife"/>
    <x v="3"/>
    <n v="5584"/>
  </r>
  <r>
    <s v="SP190"/>
    <x v="0"/>
    <x v="171"/>
    <x v="0"/>
    <s v="Music that moves youâ€”only on Spotify."/>
    <n v="2605"/>
    <n v="282"/>
    <n v="148"/>
    <n v="32201"/>
    <n v="9.4251731312692155E-2"/>
    <n v="49583"/>
    <n v="241"/>
    <s v="#SoundtrackOfLife"/>
    <s v="#NowPlaying"/>
    <x v="0"/>
    <n v="3035"/>
  </r>
  <r>
    <s v="SP191"/>
    <x v="2"/>
    <x v="115"/>
    <x v="2"/>
    <s v="Discover fresh beats on Spotify!"/>
    <n v="4221"/>
    <n v="307"/>
    <n v="58"/>
    <n v="45080"/>
    <n v="0.10173025732031943"/>
    <n v="37214"/>
    <n v="240"/>
    <s v="#DiscoverWeekly"/>
    <s v="#SoundtrackOfLife"/>
    <x v="3"/>
    <n v="4586"/>
  </r>
  <r>
    <s v="SP192"/>
    <x v="1"/>
    <x v="172"/>
    <x v="1"/>
    <s v="Whatâ€™s your vibe today? #SpotifyHits"/>
    <n v="4422"/>
    <n v="434"/>
    <n v="156"/>
    <n v="56165"/>
    <n v="8.9237069349238848E-2"/>
    <n v="52431"/>
    <n v="173"/>
    <s v="#DiscoverWeekly"/>
    <s v="#MusicForEveryone"/>
    <x v="0"/>
    <n v="5012"/>
  </r>
  <r>
    <s v="SP193"/>
    <x v="2"/>
    <x v="158"/>
    <x v="2"/>
    <s v="Wrapped is here! Relive your top tracks ðŸŽ§"/>
    <n v="1211"/>
    <n v="431"/>
    <n v="83"/>
    <n v="26532"/>
    <n v="6.5015829941203071E-2"/>
    <n v="47305"/>
    <n v="232"/>
    <s v="#DiscoverWeekly"/>
    <s v="#SoundtrackOfLife"/>
    <x v="3"/>
    <n v="1725"/>
  </r>
  <r>
    <s v="SP194"/>
    <x v="1"/>
    <x v="173"/>
    <x v="1"/>
    <s v="Explore the latest podcasts now."/>
    <n v="2784"/>
    <n v="111"/>
    <n v="399"/>
    <n v="58366"/>
    <n v="5.6436966727204191E-2"/>
    <n v="69512"/>
    <n v="269"/>
    <s v="#MusicForEveryone"/>
    <s v="#NowPlaying"/>
    <x v="0"/>
    <n v="3294"/>
  </r>
  <r>
    <s v="SP195"/>
    <x v="2"/>
    <x v="174"/>
    <x v="0"/>
    <s v="New music just dropped. Hit play!"/>
    <n v="3634"/>
    <n v="280"/>
    <n v="399"/>
    <n v="40256"/>
    <n v="0.10713930842607314"/>
    <n v="52605"/>
    <n v="213"/>
    <s v="#DiscoverWeekly"/>
    <s v="#SpotifyWrapped"/>
    <x v="1"/>
    <n v="4313"/>
  </r>
  <r>
    <s v="SP196"/>
    <x v="0"/>
    <x v="175"/>
    <x v="0"/>
    <s v="From pop to podcasts, itâ€™s all here."/>
    <n v="1771"/>
    <n v="487"/>
    <n v="272"/>
    <n v="48810"/>
    <n v="5.1833640647408315E-2"/>
    <n v="48084"/>
    <n v="272"/>
    <s v="#SoundtrackOfLife"/>
    <s v="#NowPlaying"/>
    <x v="0"/>
    <n v="2530"/>
  </r>
  <r>
    <s v="SP197"/>
    <x v="2"/>
    <x v="176"/>
    <x v="0"/>
    <s v="Top trending tracks updated daily!"/>
    <n v="1424"/>
    <n v="396"/>
    <n v="312"/>
    <n v="59517"/>
    <n v="3.5821698002251455E-2"/>
    <n v="46102"/>
    <n v="239"/>
    <s v="#DiscoverWeekly"/>
    <s v="#SpotifyWrapped"/>
    <x v="1"/>
    <n v="2132"/>
  </r>
  <r>
    <s v="SP198"/>
    <x v="1"/>
    <x v="1"/>
    <x v="1"/>
    <s v="Top trending tracks updated daily!"/>
    <n v="1079"/>
    <n v="265"/>
    <n v="190"/>
    <n v="43786"/>
    <n v="3.5034029141734799E-2"/>
    <n v="72428"/>
    <n v="222"/>
    <s v="#SoundtrackOfLife"/>
    <s v="#NowPlaying"/>
    <x v="0"/>
    <n v="1534"/>
  </r>
  <r>
    <s v="SP199"/>
    <x v="1"/>
    <x v="177"/>
    <x v="1"/>
    <s v="Get into the groove with our new drop!"/>
    <n v="4247"/>
    <n v="179"/>
    <n v="175"/>
    <n v="32991"/>
    <n v="0.13946227759085811"/>
    <n v="70120"/>
    <n v="276"/>
    <s v="#SoundtrackOfLife"/>
    <s v="#NowPlaying"/>
    <x v="0"/>
    <n v="4601"/>
  </r>
  <r>
    <s v="SP200"/>
    <x v="1"/>
    <x v="178"/>
    <x v="0"/>
    <s v="New music just dropped. Hit play!"/>
    <n v="2033"/>
    <n v="420"/>
    <n v="94"/>
    <n v="56290"/>
    <n v="4.5247823769763724E-2"/>
    <n v="57391"/>
    <n v="196"/>
    <s v="#NowPlaying"/>
    <m/>
    <x v="0"/>
    <n v="2547"/>
  </r>
  <r>
    <s v="SP201"/>
    <x v="1"/>
    <x v="179"/>
    <x v="1"/>
    <s v="Wrapped is here! Relive your top tracks ðŸŽ§"/>
    <n v="1839"/>
    <n v="223"/>
    <n v="171"/>
    <n v="35459"/>
    <n v="6.2974139146620034E-2"/>
    <n v="69988"/>
    <n v="114"/>
    <s v="#MusicForEveryone"/>
    <s v="#NowPlaying"/>
    <x v="0"/>
    <n v="2233"/>
  </r>
  <r>
    <s v="SP202"/>
    <x v="1"/>
    <x v="68"/>
    <x v="1"/>
    <s v="Wrapped is here! Relive your top tracks ðŸŽ§"/>
    <n v="2340"/>
    <n v="141"/>
    <n v="206"/>
    <n v="24916"/>
    <n v="0.10784235029699792"/>
    <n v="30582"/>
    <n v="157"/>
    <s v="#SoundtrackOfLife"/>
    <s v="#NowPlaying"/>
    <x v="0"/>
    <n v="2687"/>
  </r>
  <r>
    <s v="SP203"/>
    <x v="0"/>
    <x v="180"/>
    <x v="0"/>
    <s v="Top trending tracks updated daily!"/>
    <n v="2080"/>
    <n v="389"/>
    <n v="92"/>
    <n v="30971"/>
    <n v="8.2690258629040073E-2"/>
    <n v="25347"/>
    <n v="111"/>
    <s v="#DiscoverWeekly"/>
    <m/>
    <x v="1"/>
    <n v="2561"/>
  </r>
  <r>
    <s v="SP204"/>
    <x v="1"/>
    <x v="181"/>
    <x v="0"/>
    <s v="Get into the groove with our new drop!"/>
    <n v="4214"/>
    <n v="286"/>
    <n v="127"/>
    <n v="47293"/>
    <n v="9.7836889180216949E-2"/>
    <n v="27184"/>
    <n v="232"/>
    <s v="#NowPlaying"/>
    <m/>
    <x v="0"/>
    <n v="4627"/>
  </r>
  <r>
    <s v="SP205"/>
    <x v="1"/>
    <x v="63"/>
    <x v="0"/>
    <s v="Wrapped is here! Relive your top tracks ðŸŽ§"/>
    <n v="3792"/>
    <n v="315"/>
    <n v="120"/>
    <n v="54592"/>
    <n v="7.7428927315357568E-2"/>
    <n v="67886"/>
    <n v="117"/>
    <s v="#SoundtrackOfLife"/>
    <m/>
    <x v="1"/>
    <n v="4227"/>
  </r>
  <r>
    <s v="SP206"/>
    <x v="1"/>
    <x v="182"/>
    <x v="1"/>
    <s v="Explore the latest podcasts now."/>
    <n v="3989"/>
    <n v="476"/>
    <n v="128"/>
    <n v="57569"/>
    <n v="7.9782521843353188E-2"/>
    <n v="40193"/>
    <n v="222"/>
    <s v="#DiscoverWeekly"/>
    <s v="#MusicForEveryone"/>
    <x v="0"/>
    <n v="4593"/>
  </r>
  <r>
    <s v="SP207"/>
    <x v="1"/>
    <x v="129"/>
    <x v="1"/>
    <s v="Wrapped is here! Relive your top tracks ðŸŽ§"/>
    <n v="2857"/>
    <n v="443"/>
    <n v="359"/>
    <n v="51519"/>
    <n v="7.1022341272152026E-2"/>
    <n v="28256"/>
    <n v="155"/>
    <s v="#SoundtrackOfLife"/>
    <s v="#NowPlaying"/>
    <x v="0"/>
    <n v="3659"/>
  </r>
  <r>
    <s v="SP208"/>
    <x v="1"/>
    <x v="183"/>
    <x v="0"/>
    <s v="From pop to podcasts, itâ€™s all here."/>
    <n v="1403"/>
    <n v="385"/>
    <n v="344"/>
    <n v="54223"/>
    <n v="3.9319108127547353E-2"/>
    <n v="72595"/>
    <n v="239"/>
    <s v="#SoundtrackOfLife"/>
    <m/>
    <x v="1"/>
    <n v="2132"/>
  </r>
  <r>
    <s v="SP209"/>
    <x v="1"/>
    <x v="184"/>
    <x v="1"/>
    <s v="Whatâ€™s your vibe today? #SpotifyHits"/>
    <n v="3071"/>
    <n v="126"/>
    <n v="200"/>
    <n v="44013"/>
    <n v="7.7181741758116915E-2"/>
    <n v="44679"/>
    <n v="118"/>
    <s v="#DiscoverWeekly"/>
    <s v="#MusicForEveryone"/>
    <x v="0"/>
    <n v="3397"/>
  </r>
  <r>
    <s v="SP210"/>
    <x v="1"/>
    <x v="185"/>
    <x v="1"/>
    <s v="Top trending tracks updated daily!"/>
    <n v="1010"/>
    <n v="361"/>
    <n v="240"/>
    <n v="47229"/>
    <n v="3.4110398272247981E-2"/>
    <n v="72573"/>
    <n v="275"/>
    <s v="#SoundtrackOfLife"/>
    <s v="#NowPlaying"/>
    <x v="0"/>
    <n v="1611"/>
  </r>
  <r>
    <s v="SP211"/>
    <x v="1"/>
    <x v="186"/>
    <x v="1"/>
    <s v="Discover fresh beats on Spotify!"/>
    <n v="1295"/>
    <n v="153"/>
    <n v="81"/>
    <n v="48350"/>
    <n v="3.1623578076525334E-2"/>
    <n v="61033"/>
    <n v="232"/>
    <s v="#DiscoverWeekly"/>
    <s v="#MusicForEveryone"/>
    <x v="0"/>
    <n v="1529"/>
  </r>
  <r>
    <s v="SP212"/>
    <x v="1"/>
    <x v="187"/>
    <x v="1"/>
    <s v="Whatâ€™s your vibe today? #SpotifyHits"/>
    <n v="1433"/>
    <n v="452"/>
    <n v="305"/>
    <n v="54541"/>
    <n v="4.0153279184466734E-2"/>
    <n v="63700"/>
    <n v="296"/>
    <s v="#DiscoverWeekly"/>
    <s v="#MusicForEveryone"/>
    <x v="0"/>
    <n v="2190"/>
  </r>
  <r>
    <s v="SP213"/>
    <x v="0"/>
    <x v="188"/>
    <x v="1"/>
    <s v="Get into the groove with our new drop!"/>
    <n v="4902"/>
    <n v="422"/>
    <n v="376"/>
    <n v="31674"/>
    <n v="0.17995832544042431"/>
    <n v="53225"/>
    <n v="147"/>
    <s v="#NowPlaying"/>
    <m/>
    <x v="2"/>
    <n v="5700"/>
  </r>
  <r>
    <s v="SP214"/>
    <x v="1"/>
    <x v="30"/>
    <x v="0"/>
    <s v="Wrapped is here! Relive your top tracks ðŸŽ§"/>
    <n v="2659"/>
    <n v="167"/>
    <n v="73"/>
    <n v="23090"/>
    <n v="0.12555218709398008"/>
    <n v="25872"/>
    <n v="293"/>
    <s v="#SoundtrackOfLife"/>
    <m/>
    <x v="1"/>
    <n v="2899"/>
  </r>
  <r>
    <s v="SP215"/>
    <x v="2"/>
    <x v="189"/>
    <x v="0"/>
    <s v="Your weekend playlist is waiting."/>
    <n v="2599"/>
    <n v="324"/>
    <n v="182"/>
    <n v="37525"/>
    <n v="8.2744836775483013E-2"/>
    <n v="37216"/>
    <n v="186"/>
    <s v="#DiscoverWeekly"/>
    <s v="#SpotifyWrapped"/>
    <x v="1"/>
    <n v="3105"/>
  </r>
  <r>
    <s v="SP216"/>
    <x v="1"/>
    <x v="175"/>
    <x v="0"/>
    <s v="Music that moves youâ€”only on Spotify."/>
    <n v="1765"/>
    <n v="285"/>
    <n v="100"/>
    <n v="41313"/>
    <n v="5.2041730205988429E-2"/>
    <n v="56575"/>
    <n v="174"/>
    <s v="#SoundtrackOfLife"/>
    <m/>
    <x v="1"/>
    <n v="2150"/>
  </r>
  <r>
    <s v="SP217"/>
    <x v="0"/>
    <x v="190"/>
    <x v="0"/>
    <s v="Whatâ€™s your vibe today? #SpotifyHits"/>
    <n v="2169"/>
    <n v="240"/>
    <n v="57"/>
    <n v="26109"/>
    <n v="9.4450189589796618E-2"/>
    <n v="46667"/>
    <n v="133"/>
    <s v="#SoundtrackOfLife"/>
    <s v="#NowPlaying"/>
    <x v="0"/>
    <n v="2466"/>
  </r>
  <r>
    <s v="SP218"/>
    <x v="1"/>
    <x v="191"/>
    <x v="1"/>
    <s v="Explore the latest podcasts now."/>
    <n v="4303"/>
    <n v="306"/>
    <n v="302"/>
    <n v="39575"/>
    <n v="0.12409349336702463"/>
    <n v="33762"/>
    <n v="265"/>
    <s v="#DiscoverWeekly"/>
    <s v="#MusicForEveryone"/>
    <x v="0"/>
    <n v="4911"/>
  </r>
  <r>
    <s v="SP219"/>
    <x v="1"/>
    <x v="192"/>
    <x v="0"/>
    <s v="From pop to podcasts, itâ€™s all here."/>
    <n v="1519"/>
    <n v="456"/>
    <n v="379"/>
    <n v="51611"/>
    <n v="4.5610431884675749E-2"/>
    <n v="45880"/>
    <n v="176"/>
    <s v="#SoundtrackOfLife"/>
    <m/>
    <x v="1"/>
    <n v="2354"/>
  </r>
  <r>
    <s v="SP220"/>
    <x v="2"/>
    <x v="193"/>
    <x v="0"/>
    <s v="Whatâ€™s your vibe today? #SpotifyHits"/>
    <n v="2569"/>
    <n v="140"/>
    <n v="375"/>
    <n v="38372"/>
    <n v="8.0371103929948923E-2"/>
    <n v="22102"/>
    <n v="255"/>
    <s v="#DiscoverWeekly"/>
    <s v="#SpotifyWrapped"/>
    <x v="1"/>
    <n v="3084"/>
  </r>
  <r>
    <s v="SP221"/>
    <x v="1"/>
    <x v="194"/>
    <x v="1"/>
    <s v="Music that moves youâ€”only on Spotify."/>
    <n v="2778"/>
    <n v="241"/>
    <n v="317"/>
    <n v="26247"/>
    <n v="0.1271002400274317"/>
    <n v="20677"/>
    <n v="282"/>
    <s v="#MusicForEveryone"/>
    <s v="#NowPlaying"/>
    <x v="0"/>
    <n v="3336"/>
  </r>
  <r>
    <s v="SP222"/>
    <x v="1"/>
    <x v="195"/>
    <x v="0"/>
    <s v="Explore the latest podcasts now."/>
    <n v="3611"/>
    <n v="127"/>
    <n v="139"/>
    <n v="44768"/>
    <n v="8.6602037169406718E-2"/>
    <n v="29435"/>
    <n v="178"/>
    <s v="#NowPlaying"/>
    <m/>
    <x v="0"/>
    <n v="3877"/>
  </r>
  <r>
    <s v="SP223"/>
    <x v="1"/>
    <x v="196"/>
    <x v="0"/>
    <s v="Whatâ€™s your vibe today? #SpotifyHits"/>
    <n v="1224"/>
    <n v="168"/>
    <n v="199"/>
    <n v="54232"/>
    <n v="2.9336922849977874E-2"/>
    <n v="52844"/>
    <n v="271"/>
    <s v="#SoundtrackOfLife"/>
    <m/>
    <x v="1"/>
    <n v="1591"/>
  </r>
  <r>
    <s v="SP224"/>
    <x v="1"/>
    <x v="193"/>
    <x v="0"/>
    <s v="From pop to podcasts, itâ€™s all here."/>
    <n v="4673"/>
    <n v="270"/>
    <n v="93"/>
    <n v="45260"/>
    <n v="0.11126822801590809"/>
    <n v="57513"/>
    <n v="103"/>
    <s v="#NowPlaying"/>
    <m/>
    <x v="0"/>
    <n v="5036"/>
  </r>
  <r>
    <s v="SP225"/>
    <x v="2"/>
    <x v="197"/>
    <x v="0"/>
    <s v="Wrapped is here! Relive your top tracks ðŸŽ§"/>
    <n v="1432"/>
    <n v="437"/>
    <n v="267"/>
    <n v="40634"/>
    <n v="5.2566815966924252E-2"/>
    <n v="54511"/>
    <n v="197"/>
    <s v="#DiscoverWeekly"/>
    <s v="#SpotifyWrapped"/>
    <x v="1"/>
    <n v="2136"/>
  </r>
  <r>
    <s v="SP226"/>
    <x v="1"/>
    <x v="198"/>
    <x v="1"/>
    <s v="New music just dropped. Hit play!"/>
    <n v="2174"/>
    <n v="499"/>
    <n v="212"/>
    <n v="54938"/>
    <n v="5.2513742764570971E-2"/>
    <n v="27190"/>
    <n v="265"/>
    <s v="#MusicForEveryone"/>
    <s v="#NowPlaying"/>
    <x v="0"/>
    <n v="2885"/>
  </r>
  <r>
    <s v="SP227"/>
    <x v="2"/>
    <x v="199"/>
    <x v="0"/>
    <s v="Music that moves youâ€”only on Spotify."/>
    <n v="4308"/>
    <n v="171"/>
    <n v="106"/>
    <n v="36955"/>
    <n v="0.12406981463942633"/>
    <n v="23949"/>
    <n v="294"/>
    <s v="#DiscoverWeekly"/>
    <s v="#SpotifyWrapped"/>
    <x v="1"/>
    <n v="4585"/>
  </r>
  <r>
    <s v="SP228"/>
    <x v="2"/>
    <x v="140"/>
    <x v="2"/>
    <s v="Whatâ€™s your vibe today? #SpotifyHits"/>
    <n v="1060"/>
    <n v="442"/>
    <n v="319"/>
    <n v="57194"/>
    <n v="3.1839004091338254E-2"/>
    <n v="24258"/>
    <n v="101"/>
    <s v="#DiscoverWeekly"/>
    <s v="#SoundtrackOfLife"/>
    <x v="3"/>
    <n v="1821"/>
  </r>
  <r>
    <s v="SP229"/>
    <x v="2"/>
    <x v="115"/>
    <x v="0"/>
    <s v="Music that moves youâ€”only on Spotify."/>
    <n v="4653"/>
    <n v="226"/>
    <n v="349"/>
    <n v="56876"/>
    <n v="9.191926295801392E-2"/>
    <n v="28452"/>
    <n v="257"/>
    <s v="#DiscoverWeekly"/>
    <s v="#SpotifyWrapped"/>
    <x v="1"/>
    <n v="5228"/>
  </r>
  <r>
    <s v="SP230"/>
    <x v="2"/>
    <x v="23"/>
    <x v="0"/>
    <s v="Discover fresh beats on Spotify!"/>
    <n v="1701"/>
    <n v="272"/>
    <n v="385"/>
    <n v="47496"/>
    <n v="4.9646286003031836E-2"/>
    <n v="40832"/>
    <n v="246"/>
    <s v="#DiscoverWeekly"/>
    <s v="#SpotifyWrapped"/>
    <x v="1"/>
    <n v="2358"/>
  </r>
  <r>
    <s v="SP231"/>
    <x v="0"/>
    <x v="65"/>
    <x v="0"/>
    <s v="Whatâ€™s your vibe today? #SpotifyHits"/>
    <n v="1673"/>
    <n v="280"/>
    <n v="67"/>
    <n v="29847"/>
    <n v="6.76784936509532E-2"/>
    <n v="48016"/>
    <n v="213"/>
    <s v="#SoundtrackOfLife"/>
    <s v="#NowPlaying"/>
    <x v="0"/>
    <n v="2020"/>
  </r>
  <r>
    <s v="SP232"/>
    <x v="2"/>
    <x v="77"/>
    <x v="0"/>
    <s v="Top trending tracks updated daily!"/>
    <n v="4310"/>
    <n v="284"/>
    <n v="306"/>
    <n v="44606"/>
    <n v="0.10985069273191947"/>
    <n v="42604"/>
    <n v="290"/>
    <s v="#DiscoverWeekly"/>
    <s v="#SpotifyWrapped"/>
    <x v="1"/>
    <n v="4900"/>
  </r>
  <r>
    <s v="SP233"/>
    <x v="1"/>
    <x v="200"/>
    <x v="0"/>
    <s v="From pop to podcasts, itâ€™s all here."/>
    <n v="2752"/>
    <n v="309"/>
    <n v="91"/>
    <n v="39038"/>
    <n v="8.0741841282852611E-2"/>
    <n v="28095"/>
    <n v="277"/>
    <s v="#NowPlaying"/>
    <m/>
    <x v="0"/>
    <n v="3152"/>
  </r>
  <r>
    <s v="SP234"/>
    <x v="1"/>
    <x v="201"/>
    <x v="0"/>
    <s v="From pop to podcasts, itâ€™s all here."/>
    <n v="3818"/>
    <n v="115"/>
    <n v="286"/>
    <n v="25127"/>
    <n v="0.16790703227603773"/>
    <n v="22277"/>
    <n v="263"/>
    <s v="#NowPlaying"/>
    <m/>
    <x v="0"/>
    <n v="4219"/>
  </r>
  <r>
    <s v="SP235"/>
    <x v="2"/>
    <x v="102"/>
    <x v="0"/>
    <s v="Your weekend playlist is waiting."/>
    <n v="2101"/>
    <n v="411"/>
    <n v="190"/>
    <n v="41791"/>
    <n v="6.4655069273288512E-2"/>
    <n v="57090"/>
    <n v="172"/>
    <s v="#DiscoverWeekly"/>
    <s v="#SpotifyWrapped"/>
    <x v="1"/>
    <n v="2702"/>
  </r>
  <r>
    <s v="SP236"/>
    <x v="0"/>
    <x v="202"/>
    <x v="0"/>
    <s v="Discover fresh beats on Spotify!"/>
    <n v="2519"/>
    <n v="202"/>
    <n v="239"/>
    <n v="36245"/>
    <n v="8.1666436749896543E-2"/>
    <n v="48606"/>
    <n v="145"/>
    <s v="#DiscoverWeekly"/>
    <m/>
    <x v="1"/>
    <n v="2960"/>
  </r>
  <r>
    <s v="SP237"/>
    <x v="2"/>
    <x v="174"/>
    <x v="0"/>
    <s v="Whatâ€™s your vibe today? #SpotifyHits"/>
    <n v="4502"/>
    <n v="238"/>
    <n v="386"/>
    <n v="39198"/>
    <n v="0.13077197816215114"/>
    <n v="25050"/>
    <n v="297"/>
    <s v="#DiscoverWeekly"/>
    <s v="#SpotifyWrapped"/>
    <x v="1"/>
    <n v="5126"/>
  </r>
  <r>
    <s v="SP238"/>
    <x v="0"/>
    <x v="7"/>
    <x v="0"/>
    <s v="Explore the latest podcasts now."/>
    <n v="2478"/>
    <n v="427"/>
    <n v="242"/>
    <n v="59272"/>
    <n v="5.3094209744904843E-2"/>
    <n v="37833"/>
    <n v="214"/>
    <s v="#SoundtrackOfLife"/>
    <s v="#NowPlaying"/>
    <x v="0"/>
    <n v="3147"/>
  </r>
  <r>
    <s v="SP239"/>
    <x v="1"/>
    <x v="203"/>
    <x v="1"/>
    <s v="New music just dropped. Hit play!"/>
    <n v="4984"/>
    <n v="300"/>
    <n v="338"/>
    <n v="32900"/>
    <n v="0.17088145896656534"/>
    <n v="31691"/>
    <n v="160"/>
    <s v="#MusicForEveryone"/>
    <s v="#NowPlaying"/>
    <x v="0"/>
    <n v="5622"/>
  </r>
  <r>
    <s v="SP240"/>
    <x v="2"/>
    <x v="46"/>
    <x v="0"/>
    <s v="Wrapped is here! Relive your top tracks ðŸŽ§"/>
    <n v="4774"/>
    <n v="389"/>
    <n v="358"/>
    <n v="52346"/>
    <n v="0.10547128720437092"/>
    <n v="30518"/>
    <n v="277"/>
    <s v="#DiscoverWeekly"/>
    <s v="#SpotifyWrapped"/>
    <x v="1"/>
    <n v="5521"/>
  </r>
  <r>
    <s v="SP241"/>
    <x v="1"/>
    <x v="204"/>
    <x v="0"/>
    <s v="Get into the groove with our new drop!"/>
    <n v="2145"/>
    <n v="340"/>
    <n v="85"/>
    <n v="53323"/>
    <n v="4.819683813738912E-2"/>
    <n v="49938"/>
    <n v="104"/>
    <s v="#NowPlaying"/>
    <m/>
    <x v="0"/>
    <n v="2570"/>
  </r>
  <r>
    <s v="SP242"/>
    <x v="1"/>
    <x v="205"/>
    <x v="1"/>
    <s v="From pop to podcasts, itâ€™s all here."/>
    <n v="4315"/>
    <n v="208"/>
    <n v="273"/>
    <n v="35780"/>
    <n v="0.13404136389044158"/>
    <n v="44349"/>
    <n v="133"/>
    <s v="#DiscoverWeekly"/>
    <s v="#MusicForEveryone"/>
    <x v="0"/>
    <n v="4796"/>
  </r>
  <r>
    <s v="SP243"/>
    <x v="1"/>
    <x v="193"/>
    <x v="1"/>
    <s v="Wrapped is here! Relive your top tracks ðŸŽ§"/>
    <n v="2267"/>
    <n v="230"/>
    <n v="243"/>
    <n v="27904"/>
    <n v="9.8193807339449546E-2"/>
    <n v="69771"/>
    <n v="255"/>
    <s v="#DiscoverWeekly"/>
    <s v="#MusicForEveryone"/>
    <x v="0"/>
    <n v="2740"/>
  </r>
  <r>
    <s v="SP244"/>
    <x v="2"/>
    <x v="206"/>
    <x v="0"/>
    <s v="Music that moves youâ€”only on Spotify."/>
    <n v="4375"/>
    <n v="303"/>
    <n v="294"/>
    <n v="57468"/>
    <n v="8.6517714206166912E-2"/>
    <n v="53397"/>
    <n v="159"/>
    <s v="#DiscoverWeekly"/>
    <s v="#SpotifyWrapped"/>
    <x v="1"/>
    <n v="4972"/>
  </r>
  <r>
    <s v="SP245"/>
    <x v="1"/>
    <x v="31"/>
    <x v="1"/>
    <s v="Your weekend playlist is waiting."/>
    <n v="3817"/>
    <n v="284"/>
    <n v="204"/>
    <n v="46434"/>
    <n v="9.2712236723090841E-2"/>
    <n v="53396"/>
    <n v="104"/>
    <s v="#MusicForEveryone"/>
    <s v="#NowPlaying"/>
    <x v="0"/>
    <n v="4305"/>
  </r>
  <r>
    <s v="SP246"/>
    <x v="1"/>
    <x v="207"/>
    <x v="1"/>
    <s v="Top trending tracks updated daily!"/>
    <n v="2981"/>
    <n v="258"/>
    <n v="168"/>
    <n v="20677"/>
    <n v="0.16477245248343569"/>
    <n v="68290"/>
    <n v="130"/>
    <s v="#SoundtrackOfLife"/>
    <s v="#NowPlaying"/>
    <x v="0"/>
    <n v="3407"/>
  </r>
  <r>
    <s v="SP247"/>
    <x v="1"/>
    <x v="172"/>
    <x v="1"/>
    <s v="Your weekend playlist is waiting."/>
    <n v="3300"/>
    <n v="354"/>
    <n v="397"/>
    <n v="56773"/>
    <n v="7.1354340971940891E-2"/>
    <n v="72110"/>
    <n v="163"/>
    <s v="#DiscoverWeekly"/>
    <s v="#MusicForEveryone"/>
    <x v="0"/>
    <n v="4051"/>
  </r>
  <r>
    <s v="SP248"/>
    <x v="2"/>
    <x v="208"/>
    <x v="2"/>
    <s v="Wrapped is here! Relive your top tracks ðŸŽ§"/>
    <n v="4722"/>
    <n v="310"/>
    <n v="344"/>
    <n v="27911"/>
    <n v="0.19261223173659131"/>
    <n v="19000"/>
    <n v="225"/>
    <s v="#DiscoverWeekly"/>
    <s v="#SoundtrackOfLife"/>
    <x v="3"/>
    <n v="5376"/>
  </r>
  <r>
    <s v="SP249"/>
    <x v="0"/>
    <x v="9"/>
    <x v="0"/>
    <s v="Whatâ€™s your vibe today? #SpotifyHits"/>
    <n v="3529"/>
    <n v="263"/>
    <n v="107"/>
    <n v="26570"/>
    <n v="0.14674444862627023"/>
    <n v="19367"/>
    <n v="96"/>
    <s v="#DiscoverWeekly"/>
    <m/>
    <x v="1"/>
    <n v="3899"/>
  </r>
  <r>
    <s v="SP250"/>
    <x v="1"/>
    <x v="126"/>
    <x v="0"/>
    <s v="Your weekend playlist is waiting."/>
    <n v="4782"/>
    <n v="210"/>
    <n v="311"/>
    <n v="29793"/>
    <n v="0.17799483100057059"/>
    <n v="37543"/>
    <n v="145"/>
    <s v="#NowPlaying"/>
    <m/>
    <x v="0"/>
    <n v="5303"/>
  </r>
  <r>
    <s v="SP251"/>
    <x v="1"/>
    <x v="60"/>
    <x v="0"/>
    <s v="Whatâ€™s your vibe today? #SpotifyHits"/>
    <n v="1848"/>
    <n v="417"/>
    <n v="294"/>
    <n v="57819"/>
    <n v="4.4258807658382193E-2"/>
    <n v="19798"/>
    <n v="262"/>
    <s v="#SoundtrackOfLife"/>
    <m/>
    <x v="1"/>
    <n v="2559"/>
  </r>
  <r>
    <s v="SP252"/>
    <x v="2"/>
    <x v="96"/>
    <x v="0"/>
    <s v="New music just dropped. Hit play!"/>
    <n v="4676"/>
    <n v="211"/>
    <n v="55"/>
    <n v="45917"/>
    <n v="0.10762898272970794"/>
    <n v="73503"/>
    <n v="248"/>
    <s v="#DiscoverWeekly"/>
    <s v="#SpotifyWrapped"/>
    <x v="1"/>
    <n v="4942"/>
  </r>
  <r>
    <s v="SP253"/>
    <x v="2"/>
    <x v="209"/>
    <x v="0"/>
    <s v="From pop to podcasts, itâ€™s all here."/>
    <n v="1994"/>
    <n v="197"/>
    <n v="290"/>
    <n v="49500"/>
    <n v="5.0121212121212122E-2"/>
    <n v="23343"/>
    <n v="160"/>
    <s v="#DiscoverWeekly"/>
    <s v="#SpotifyWrapped"/>
    <x v="1"/>
    <n v="2481"/>
  </r>
  <r>
    <s v="SP254"/>
    <x v="1"/>
    <x v="210"/>
    <x v="0"/>
    <s v="Whatâ€™s your vibe today? #SpotifyHits"/>
    <n v="4995"/>
    <n v="231"/>
    <n v="94"/>
    <n v="34431"/>
    <n v="0.15451192239551567"/>
    <n v="32560"/>
    <n v="262"/>
    <s v="#NowPlaying"/>
    <m/>
    <x v="0"/>
    <n v="5320"/>
  </r>
  <r>
    <s v="SP255"/>
    <x v="1"/>
    <x v="154"/>
    <x v="1"/>
    <s v="Top trending tracks updated daily!"/>
    <n v="2291"/>
    <n v="146"/>
    <n v="399"/>
    <n v="49319"/>
    <n v="5.7503193495407452E-2"/>
    <n v="28056"/>
    <n v="90"/>
    <s v="#DiscoverWeekly"/>
    <s v="#MusicForEveryone"/>
    <x v="0"/>
    <n v="2836"/>
  </r>
  <r>
    <s v="SP256"/>
    <x v="1"/>
    <x v="207"/>
    <x v="1"/>
    <s v="Wrapped is here! Relive your top tracks ðŸŽ§"/>
    <n v="2304"/>
    <n v="289"/>
    <n v="161"/>
    <n v="52645"/>
    <n v="5.2312660271630736E-2"/>
    <n v="66262"/>
    <n v="146"/>
    <s v="#MusicForEveryone"/>
    <s v="#NowPlaying"/>
    <x v="0"/>
    <n v="2754"/>
  </r>
  <r>
    <s v="SP257"/>
    <x v="1"/>
    <x v="211"/>
    <x v="1"/>
    <s v="Top trending tracks updated daily!"/>
    <n v="3413"/>
    <n v="326"/>
    <n v="86"/>
    <n v="44680"/>
    <n v="8.5608773500447627E-2"/>
    <n v="52719"/>
    <n v="272"/>
    <s v="#DiscoverWeekly"/>
    <s v="#MusicForEveryone"/>
    <x v="0"/>
    <n v="3825"/>
  </r>
  <r>
    <s v="SP258"/>
    <x v="2"/>
    <x v="123"/>
    <x v="2"/>
    <s v="From pop to podcasts, itâ€™s all here."/>
    <n v="1453"/>
    <n v="156"/>
    <n v="178"/>
    <n v="52980"/>
    <n v="3.3729709324273313E-2"/>
    <n v="57180"/>
    <n v="286"/>
    <s v="#DiscoverWeekly"/>
    <s v="#SoundtrackOfLife"/>
    <x v="3"/>
    <n v="1787"/>
  </r>
  <r>
    <s v="SP259"/>
    <x v="1"/>
    <x v="212"/>
    <x v="1"/>
    <s v="Music that moves youâ€”only on Spotify."/>
    <n v="1651"/>
    <n v="480"/>
    <n v="282"/>
    <n v="32140"/>
    <n v="7.5077784691972627E-2"/>
    <n v="70560"/>
    <n v="138"/>
    <s v="#SoundtrackOfLife"/>
    <s v="#NowPlaying"/>
    <x v="0"/>
    <n v="2413"/>
  </r>
  <r>
    <s v="SP260"/>
    <x v="1"/>
    <x v="67"/>
    <x v="1"/>
    <s v="Explore the latest podcasts now."/>
    <n v="3341"/>
    <n v="154"/>
    <n v="123"/>
    <n v="43369"/>
    <n v="8.3423643616408028E-2"/>
    <n v="49035"/>
    <n v="128"/>
    <s v="#MusicForEveryone"/>
    <s v="#NowPlaying"/>
    <x v="0"/>
    <n v="3618"/>
  </r>
  <r>
    <s v="SP261"/>
    <x v="1"/>
    <x v="213"/>
    <x v="0"/>
    <s v="From pop to podcasts, itâ€™s all here."/>
    <n v="2972"/>
    <n v="263"/>
    <n v="308"/>
    <n v="51740"/>
    <n v="6.8477000386548123E-2"/>
    <n v="28214"/>
    <n v="190"/>
    <s v="#SoundtrackOfLife"/>
    <m/>
    <x v="1"/>
    <n v="3543"/>
  </r>
  <r>
    <s v="SP262"/>
    <x v="1"/>
    <x v="214"/>
    <x v="1"/>
    <s v="Explore the latest podcasts now."/>
    <n v="4963"/>
    <n v="255"/>
    <n v="193"/>
    <n v="44386"/>
    <n v="0.12190780876853062"/>
    <n v="28415"/>
    <n v="174"/>
    <s v="#MusicForEveryone"/>
    <s v="#NowPlaying"/>
    <x v="0"/>
    <n v="5411"/>
  </r>
  <r>
    <s v="SP263"/>
    <x v="2"/>
    <x v="215"/>
    <x v="0"/>
    <s v="Music that moves youâ€”only on Spotify."/>
    <n v="2399"/>
    <n v="191"/>
    <n v="221"/>
    <n v="51603"/>
    <n v="5.4473577117609438E-2"/>
    <n v="40033"/>
    <n v="173"/>
    <s v="#DiscoverWeekly"/>
    <s v="#SpotifyWrapped"/>
    <x v="1"/>
    <n v="2811"/>
  </r>
  <r>
    <s v="SP264"/>
    <x v="2"/>
    <x v="190"/>
    <x v="2"/>
    <s v="Get into the groove with our new drop!"/>
    <n v="2162"/>
    <n v="318"/>
    <n v="83"/>
    <n v="46719"/>
    <n v="5.4859907104176028E-2"/>
    <n v="20482"/>
    <n v="185"/>
    <s v="#DiscoverWeekly"/>
    <s v="#SoundtrackOfLife"/>
    <x v="3"/>
    <n v="2563"/>
  </r>
  <r>
    <s v="SP265"/>
    <x v="1"/>
    <x v="76"/>
    <x v="1"/>
    <s v="Explore the latest podcasts now."/>
    <n v="4341"/>
    <n v="141"/>
    <n v="63"/>
    <n v="50081"/>
    <n v="9.0752980172121162E-2"/>
    <n v="27507"/>
    <n v="221"/>
    <s v="#DiscoverWeekly"/>
    <s v="#MusicForEveryone"/>
    <x v="0"/>
    <n v="4545"/>
  </r>
  <r>
    <s v="SP266"/>
    <x v="0"/>
    <x v="140"/>
    <x v="1"/>
    <s v="Get into the groove with our new drop!"/>
    <n v="2448"/>
    <n v="464"/>
    <n v="98"/>
    <n v="25737"/>
    <n v="0.11695224773672146"/>
    <n v="48545"/>
    <n v="246"/>
    <s v="#NowPlaying"/>
    <m/>
    <x v="2"/>
    <n v="3010"/>
  </r>
  <r>
    <s v="SP267"/>
    <x v="2"/>
    <x v="216"/>
    <x v="0"/>
    <s v="Top trending tracks updated daily!"/>
    <n v="2471"/>
    <n v="166"/>
    <n v="320"/>
    <n v="48254"/>
    <n v="6.1279893894806647E-2"/>
    <n v="46900"/>
    <n v="111"/>
    <s v="#DiscoverWeekly"/>
    <s v="#SpotifyWrapped"/>
    <x v="1"/>
    <n v="2957"/>
  </r>
  <r>
    <s v="SP268"/>
    <x v="2"/>
    <x v="217"/>
    <x v="2"/>
    <s v="Explore the latest podcasts now."/>
    <n v="2692"/>
    <n v="446"/>
    <n v="216"/>
    <n v="45818"/>
    <n v="7.3202671439172376E-2"/>
    <n v="62723"/>
    <n v="85"/>
    <s v="#DiscoverWeekly"/>
    <s v="#SoundtrackOfLife"/>
    <x v="3"/>
    <n v="3354"/>
  </r>
  <r>
    <s v="SP269"/>
    <x v="2"/>
    <x v="218"/>
    <x v="2"/>
    <s v="Music that moves youâ€”only on Spotify."/>
    <n v="4621"/>
    <n v="374"/>
    <n v="298"/>
    <n v="56979"/>
    <n v="9.2893873181347508E-2"/>
    <n v="24098"/>
    <n v="205"/>
    <s v="#DiscoverWeekly"/>
    <s v="#SoundtrackOfLife"/>
    <x v="3"/>
    <n v="5293"/>
  </r>
  <r>
    <s v="SP270"/>
    <x v="1"/>
    <x v="88"/>
    <x v="1"/>
    <s v="New music just dropped. Hit play!"/>
    <n v="1409"/>
    <n v="466"/>
    <n v="105"/>
    <n v="58923"/>
    <n v="3.3603177027646251E-2"/>
    <n v="38753"/>
    <n v="265"/>
    <s v="#DiscoverWeekly"/>
    <s v="#MusicForEveryone"/>
    <x v="0"/>
    <n v="1980"/>
  </r>
  <r>
    <s v="SP271"/>
    <x v="1"/>
    <x v="45"/>
    <x v="1"/>
    <s v="Discover fresh beats on Spotify!"/>
    <n v="3029"/>
    <n v="440"/>
    <n v="66"/>
    <n v="23815"/>
    <n v="0.14843585975225698"/>
    <n v="47895"/>
    <n v="210"/>
    <s v="#DiscoverWeekly"/>
    <s v="#MusicForEveryone"/>
    <x v="0"/>
    <n v="3535"/>
  </r>
  <r>
    <s v="SP272"/>
    <x v="1"/>
    <x v="19"/>
    <x v="0"/>
    <s v="Explore the latest podcasts now."/>
    <n v="2229"/>
    <n v="395"/>
    <n v="328"/>
    <n v="56921"/>
    <n v="5.1861351697967357E-2"/>
    <n v="37176"/>
    <n v="126"/>
    <s v="#SoundtrackOfLife"/>
    <m/>
    <x v="1"/>
    <n v="2952"/>
  </r>
  <r>
    <s v="SP273"/>
    <x v="1"/>
    <x v="43"/>
    <x v="0"/>
    <s v="Explore the latest podcasts now."/>
    <n v="2691"/>
    <n v="486"/>
    <n v="206"/>
    <n v="51133"/>
    <n v="6.6160796354604659E-2"/>
    <n v="44583"/>
    <n v="276"/>
    <s v="#NowPlaying"/>
    <m/>
    <x v="0"/>
    <n v="3383"/>
  </r>
  <r>
    <s v="SP274"/>
    <x v="0"/>
    <x v="12"/>
    <x v="0"/>
    <s v="Explore the latest podcasts now."/>
    <n v="2110"/>
    <n v="384"/>
    <n v="236"/>
    <n v="49965"/>
    <n v="5.4638246772740921E-2"/>
    <n v="61555"/>
    <n v="195"/>
    <s v="#DiscoverWeekly"/>
    <m/>
    <x v="1"/>
    <n v="2730"/>
  </r>
  <r>
    <s v="SP275"/>
    <x v="0"/>
    <x v="219"/>
    <x v="0"/>
    <s v="Wrapped is here! Relive your top tracks ðŸŽ§"/>
    <n v="4752"/>
    <n v="449"/>
    <n v="309"/>
    <n v="58530"/>
    <n v="9.4139757389372969E-2"/>
    <n v="26630"/>
    <n v="234"/>
    <s v="#DiscoverWeekly"/>
    <m/>
    <x v="1"/>
    <n v="5510"/>
  </r>
  <r>
    <s v="SP276"/>
    <x v="1"/>
    <x v="220"/>
    <x v="0"/>
    <s v="Discover fresh beats on Spotify!"/>
    <n v="2177"/>
    <n v="258"/>
    <n v="292"/>
    <n v="47276"/>
    <n v="5.7682545054573146E-2"/>
    <n v="51324"/>
    <n v="143"/>
    <s v="#NowPlaying"/>
    <m/>
    <x v="0"/>
    <n v="2727"/>
  </r>
  <r>
    <s v="SP277"/>
    <x v="0"/>
    <x v="210"/>
    <x v="1"/>
    <s v="New music just dropped. Hit play!"/>
    <n v="1205"/>
    <n v="486"/>
    <n v="269"/>
    <n v="23341"/>
    <n v="8.3972409065592737E-2"/>
    <n v="42411"/>
    <n v="184"/>
    <s v="#NowPlaying"/>
    <m/>
    <x v="2"/>
    <n v="1960"/>
  </r>
  <r>
    <s v="SP278"/>
    <x v="0"/>
    <x v="221"/>
    <x v="0"/>
    <s v="Top trending tracks updated daily!"/>
    <n v="3194"/>
    <n v="292"/>
    <n v="245"/>
    <n v="56371"/>
    <n v="6.6186514342481059E-2"/>
    <n v="65597"/>
    <n v="163"/>
    <s v="#SoundtrackOfLife"/>
    <s v="#NowPlaying"/>
    <x v="0"/>
    <n v="3731"/>
  </r>
  <r>
    <s v="SP279"/>
    <x v="1"/>
    <x v="212"/>
    <x v="1"/>
    <s v="New music just dropped. Hit play!"/>
    <n v="3507"/>
    <n v="295"/>
    <n v="371"/>
    <n v="20410"/>
    <n v="0.20445859872611466"/>
    <n v="53965"/>
    <n v="212"/>
    <s v="#SoundtrackOfLife"/>
    <s v="#NowPlaying"/>
    <x v="0"/>
    <n v="4173"/>
  </r>
  <r>
    <s v="SP280"/>
    <x v="1"/>
    <x v="124"/>
    <x v="1"/>
    <s v="Wrapped is here! Relive your top tracks ðŸŽ§"/>
    <n v="4471"/>
    <n v="317"/>
    <n v="249"/>
    <n v="44862"/>
    <n v="0.1122776514644911"/>
    <n v="33365"/>
    <n v="184"/>
    <s v="#DiscoverWeekly"/>
    <s v="#MusicForEveryone"/>
    <x v="0"/>
    <n v="5037"/>
  </r>
  <r>
    <s v="SP281"/>
    <x v="0"/>
    <x v="222"/>
    <x v="0"/>
    <s v="Top trending tracks updated daily!"/>
    <n v="4931"/>
    <n v="469"/>
    <n v="193"/>
    <n v="56701"/>
    <n v="9.8640235621946709E-2"/>
    <n v="69437"/>
    <n v="291"/>
    <s v="#SoundtrackOfLife"/>
    <s v="#NowPlaying"/>
    <x v="0"/>
    <n v="5593"/>
  </r>
  <r>
    <s v="SP282"/>
    <x v="1"/>
    <x v="223"/>
    <x v="1"/>
    <s v="Get into the groove with our new drop!"/>
    <n v="2604"/>
    <n v="439"/>
    <n v="148"/>
    <n v="58468"/>
    <n v="5.4576862557296296E-2"/>
    <n v="39629"/>
    <n v="163"/>
    <s v="#MusicForEveryone"/>
    <s v="#NowPlaying"/>
    <x v="0"/>
    <n v="3191"/>
  </r>
  <r>
    <s v="SP283"/>
    <x v="0"/>
    <x v="132"/>
    <x v="0"/>
    <s v="Music that moves youâ€”only on Spotify."/>
    <n v="4197"/>
    <n v="359"/>
    <n v="280"/>
    <n v="56048"/>
    <n v="8.628318584070796E-2"/>
    <n v="70930"/>
    <n v="295"/>
    <s v="#DiscoverWeekly"/>
    <m/>
    <x v="1"/>
    <n v="4836"/>
  </r>
  <r>
    <s v="SP284"/>
    <x v="0"/>
    <x v="224"/>
    <x v="1"/>
    <s v="Top trending tracks updated daily!"/>
    <n v="1914"/>
    <n v="255"/>
    <n v="156"/>
    <n v="27660"/>
    <n v="8.4056399132321047E-2"/>
    <n v="47776"/>
    <n v="111"/>
    <s v="#NowPlaying"/>
    <m/>
    <x v="2"/>
    <n v="2325"/>
  </r>
  <r>
    <s v="SP285"/>
    <x v="2"/>
    <x v="225"/>
    <x v="0"/>
    <s v="New music just dropped. Hit play!"/>
    <n v="1334"/>
    <n v="357"/>
    <n v="257"/>
    <n v="56910"/>
    <n v="3.4229485151994379E-2"/>
    <n v="70606"/>
    <n v="228"/>
    <s v="#DiscoverWeekly"/>
    <s v="#SpotifyWrapped"/>
    <x v="1"/>
    <n v="1948"/>
  </r>
  <r>
    <s v="SP286"/>
    <x v="0"/>
    <x v="98"/>
    <x v="0"/>
    <s v="Get into the groove with our new drop!"/>
    <n v="3359"/>
    <n v="137"/>
    <n v="387"/>
    <n v="33861"/>
    <n v="0.11467469950680724"/>
    <n v="47257"/>
    <n v="198"/>
    <s v="#DiscoverWeekly"/>
    <m/>
    <x v="1"/>
    <n v="3883"/>
  </r>
  <r>
    <s v="SP287"/>
    <x v="2"/>
    <x v="226"/>
    <x v="0"/>
    <s v="Your weekend playlist is waiting."/>
    <n v="2172"/>
    <n v="338"/>
    <n v="70"/>
    <n v="30515"/>
    <n v="8.4548582664263475E-2"/>
    <n v="57853"/>
    <n v="156"/>
    <s v="#DiscoverWeekly"/>
    <s v="#SpotifyWrapped"/>
    <x v="1"/>
    <n v="2580"/>
  </r>
  <r>
    <s v="SP288"/>
    <x v="1"/>
    <x v="151"/>
    <x v="1"/>
    <s v="From pop to podcasts, itâ€™s all here."/>
    <n v="4877"/>
    <n v="442"/>
    <n v="236"/>
    <n v="52673"/>
    <n v="0.10546200140489435"/>
    <n v="48241"/>
    <n v="114"/>
    <s v="#DiscoverWeekly"/>
    <s v="#MusicForEveryone"/>
    <x v="0"/>
    <n v="5555"/>
  </r>
  <r>
    <s v="SP289"/>
    <x v="0"/>
    <x v="74"/>
    <x v="1"/>
    <s v="New music just dropped. Hit play!"/>
    <n v="4918"/>
    <n v="440"/>
    <n v="149"/>
    <n v="53269"/>
    <n v="0.10338095327488783"/>
    <n v="64370"/>
    <n v="269"/>
    <s v="#NowPlaying"/>
    <m/>
    <x v="2"/>
    <n v="5507"/>
  </r>
  <r>
    <s v="SP290"/>
    <x v="1"/>
    <x v="227"/>
    <x v="0"/>
    <s v="Explore the latest podcasts now."/>
    <n v="3418"/>
    <n v="107"/>
    <n v="221"/>
    <n v="23927"/>
    <n v="0.1565595352530614"/>
    <n v="26182"/>
    <n v="155"/>
    <s v="#SoundtrackOfLife"/>
    <m/>
    <x v="1"/>
    <n v="3746"/>
  </r>
  <r>
    <s v="SP291"/>
    <x v="0"/>
    <x v="228"/>
    <x v="0"/>
    <s v="Your weekend playlist is waiting."/>
    <n v="2088"/>
    <n v="490"/>
    <n v="124"/>
    <n v="46544"/>
    <n v="5.8052595393606049E-2"/>
    <n v="69346"/>
    <n v="178"/>
    <s v="#SoundtrackOfLife"/>
    <s v="#NowPlaying"/>
    <x v="0"/>
    <n v="2702"/>
  </r>
  <r>
    <s v="SP292"/>
    <x v="1"/>
    <x v="59"/>
    <x v="1"/>
    <s v="Explore the latest podcasts now."/>
    <n v="3061"/>
    <n v="320"/>
    <n v="76"/>
    <n v="26640"/>
    <n v="0.12976726726726726"/>
    <n v="24306"/>
    <n v="112"/>
    <s v="#MusicForEveryone"/>
    <s v="#NowPlaying"/>
    <x v="0"/>
    <n v="3457"/>
  </r>
  <r>
    <s v="SP293"/>
    <x v="2"/>
    <x v="229"/>
    <x v="2"/>
    <s v="Your weekend playlist is waiting."/>
    <n v="1265"/>
    <n v="230"/>
    <n v="364"/>
    <n v="41312"/>
    <n v="4.4999031758326875E-2"/>
    <n v="50382"/>
    <n v="106"/>
    <s v="#DiscoverWeekly"/>
    <s v="#SoundtrackOfLife"/>
    <x v="3"/>
    <n v="1859"/>
  </r>
  <r>
    <s v="SP294"/>
    <x v="0"/>
    <x v="230"/>
    <x v="0"/>
    <s v="From pop to podcasts, itâ€™s all here."/>
    <n v="1436"/>
    <n v="219"/>
    <n v="229"/>
    <n v="58488"/>
    <n v="3.221173574066475E-2"/>
    <n v="24314"/>
    <n v="147"/>
    <s v="#DiscoverWeekly"/>
    <m/>
    <x v="1"/>
    <n v="1884"/>
  </r>
  <r>
    <s v="SP295"/>
    <x v="0"/>
    <x v="231"/>
    <x v="1"/>
    <s v="Top trending tracks updated daily!"/>
    <n v="2244"/>
    <n v="392"/>
    <n v="231"/>
    <n v="25834"/>
    <n v="0.1109777812185492"/>
    <n v="50906"/>
    <n v="165"/>
    <s v="#NowPlaying"/>
    <m/>
    <x v="2"/>
    <n v="2867"/>
  </r>
  <r>
    <s v="SP296"/>
    <x v="1"/>
    <x v="123"/>
    <x v="1"/>
    <s v="Your weekend playlist is waiting."/>
    <n v="3393"/>
    <n v="104"/>
    <n v="79"/>
    <n v="30025"/>
    <n v="0.1191007493755204"/>
    <n v="21593"/>
    <n v="165"/>
    <s v="#MusicForEveryone"/>
    <s v="#NowPlaying"/>
    <x v="0"/>
    <n v="3576"/>
  </r>
  <r>
    <s v="SP297"/>
    <x v="1"/>
    <x v="213"/>
    <x v="0"/>
    <s v="Explore the latest podcasts now."/>
    <n v="2901"/>
    <n v="108"/>
    <n v="86"/>
    <n v="51777"/>
    <n v="5.9775576027966085E-2"/>
    <n v="23773"/>
    <n v="160"/>
    <s v="#SoundtrackOfLife"/>
    <m/>
    <x v="1"/>
    <n v="3095"/>
  </r>
  <r>
    <s v="SP298"/>
    <x v="1"/>
    <x v="232"/>
    <x v="0"/>
    <s v="Whatâ€™s your vibe today? #SpotifyHits"/>
    <n v="2275"/>
    <n v="285"/>
    <n v="125"/>
    <n v="43970"/>
    <n v="6.1064362065044349E-2"/>
    <n v="74761"/>
    <n v="83"/>
    <s v="#NowPlaying"/>
    <m/>
    <x v="0"/>
    <n v="2685"/>
  </r>
  <r>
    <s v="SP299"/>
    <x v="1"/>
    <x v="233"/>
    <x v="1"/>
    <s v="Wrapped is here! Relive your top tracks ðŸŽ§"/>
    <n v="2227"/>
    <n v="494"/>
    <n v="161"/>
    <n v="51651"/>
    <n v="5.5797564422760453E-2"/>
    <n v="68074"/>
    <n v="240"/>
    <s v="#DiscoverWeekly"/>
    <s v="#MusicForEveryone"/>
    <x v="0"/>
    <n v="2882"/>
  </r>
  <r>
    <s v="SP300"/>
    <x v="0"/>
    <x v="234"/>
    <x v="0"/>
    <s v="Music that moves youâ€”only on Spotify."/>
    <n v="1883"/>
    <n v="432"/>
    <n v="397"/>
    <n v="28759"/>
    <n v="9.4300914496331587E-2"/>
    <n v="18691"/>
    <n v="270"/>
    <s v="#SoundtrackOfLife"/>
    <s v="#NowPlaying"/>
    <x v="0"/>
    <n v="27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560B6-A3D9-4489-9285-F483E122F9DB}" name="PivotTable1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4:G8" firstHeaderRow="0" firstDataRow="1" firstDataCol="1"/>
  <pivotFields count="20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dataField="1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ragToRow="0" dragToCol="0" dragToPage="0" showAll="0" defaultSubtotal="0"/>
    <pivotField showAll="0" defaultSubtotal="0"/>
    <pivotField showAll="0" defaultSubtotal="0"/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>
      <x v="3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Likes" fld="5" baseField="0" baseItem="0"/>
    <dataField name="Average of Likes" fld="5" subtotal="average" baseField="14" baseItem="0"/>
    <dataField name="Sum of Clicks" fld="11" baseField="0" baseItem="0"/>
    <dataField name="Average of Clicks" fld="11" subtotal="average" baseField="14" baseItem="0"/>
    <dataField name="Sum of Impressions" fld="8" baseField="0" baseItem="0"/>
    <dataField name="Average of Impressions" fld="8" subtotal="average" baseField="14" baseItem="0"/>
  </dataFields>
  <formats count="18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4" type="button" dataOnly="0" labelOnly="1" outline="0" axis="axisRow" fieldPosition="0"/>
    </format>
    <format dxfId="36">
      <pivotArea dataOnly="0" labelOnly="1" fieldPosition="0">
        <references count="1">
          <reference field="14" count="0"/>
        </references>
      </pivotArea>
    </format>
    <format dxfId="35">
      <pivotArea dataOnly="0" labelOnly="1" outline="0" fieldPosition="0">
        <references count="1">
          <reference field="4294967294" count="3">
            <x v="1"/>
            <x v="3"/>
            <x v="5"/>
          </reference>
        </references>
      </pivotArea>
    </format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4" type="button" dataOnly="0" labelOnly="1" outline="0" axis="axisRow" fieldPosition="0"/>
    </format>
    <format dxfId="30">
      <pivotArea dataOnly="0" labelOnly="1" fieldPosition="0">
        <references count="1">
          <reference field="14" count="0"/>
        </references>
      </pivotArea>
    </format>
    <format dxfId="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14" count="0"/>
        </references>
      </pivotArea>
    </format>
    <format dxfId="25">
      <pivotArea field="14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3">
      <pivotArea field="14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521B3F5-6B7C-4E3F-A20D-D8D7786E1A00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5" dataBound="0" tableColumnId="17"/>
      <queryTableField id="10" name="Reach" tableColumnId="10"/>
      <queryTableField id="11" name="Clicks" tableColumnId="11"/>
      <queryTableField id="12" name="Hashtags Used_1" tableColumnId="12"/>
      <queryTableField id="13" name="Hashtags Used_2" tableColumnId="13"/>
      <queryTableField id="14" name="Campaign_Name" tableColumnId="14"/>
      <queryTableField id="16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C33319-BB23-4FAC-9403-4B58D8A3724C}" autoFormatId="16" applyNumberFormats="0" applyBorderFormats="0" applyFontFormats="0" applyPatternFormats="0" applyAlignmentFormats="0" applyWidthHeightFormats="0">
  <queryTableRefresh nextId="13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12" dataBound="0" tableColumnId="11"/>
      <queryTableField id="8" dataBound="0" tableColumnId="9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E3AEDC-96AD-4B4F-AD15-BF457F229B53}" autoFormatId="16" applyNumberFormats="0" applyBorderFormats="0" applyFontFormats="0" applyPatternFormats="0" applyAlignmentFormats="0" applyWidthHeightFormats="0">
  <queryTableRefresh nextId="10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_1" tableColumnId="6"/>
      <queryTableField id="7" name="Target_Platforms_2" tableColumnId="7"/>
      <queryTableField id="8" name="Primary_Hashtags_1" tableColumnId="8"/>
      <queryTableField id="9" name="Primary_Hashtags_2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5038227E-7C48-4B66-AE85-8EC68CDAD028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Engagement Rate" tableColumnId="10"/>
      <queryTableField id="11" name="Reach" tableColumnId="11"/>
      <queryTableField id="12" name="Clicks" tableColumnId="12"/>
      <queryTableField id="13" name="Campaign_Name" tableColumnId="13"/>
      <queryTableField id="14" name="Hashta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9824-F9F6-45BA-8DD4-2230E241345D}" name="Posts" displayName="Posts" ref="A1:P301" tableType="queryTable" totalsRowShown="0" headerRowDxfId="114" dataDxfId="113">
  <autoFilter ref="A1:P301" xr:uid="{A9339824-F9F6-45BA-8DD4-2230E241345D}"/>
  <tableColumns count="16">
    <tableColumn id="1" xr3:uid="{C59FE37B-BF12-4F7D-BCF1-F3D9ED31AD0B}" uniqueName="1" name="Post ID" queryTableFieldId="1" dataDxfId="112"/>
    <tableColumn id="2" xr3:uid="{86C187A0-9920-45C8-BCE3-B463AF22966B}" uniqueName="2" name="Platform" queryTableFieldId="2" dataDxfId="111"/>
    <tableColumn id="3" xr3:uid="{3152EF19-A6BD-4832-B792-797C786033B7}" uniqueName="3" name="Date" queryTableFieldId="3" dataDxfId="110"/>
    <tableColumn id="4" xr3:uid="{2C14C5F1-C3C8-4F06-AFA8-CE34785E71CD}" uniqueName="4" name="Content Type" queryTableFieldId="4" dataDxfId="109"/>
    <tableColumn id="5" xr3:uid="{BDD5DD97-BBA2-45BA-96D0-DE4971975CAE}" uniqueName="5" name="Post Text" queryTableFieldId="5" dataDxfId="108"/>
    <tableColumn id="6" xr3:uid="{5EC0C0BB-A4AF-4B53-8445-12E924DFCFF3}" uniqueName="6" name="Likes" queryTableFieldId="6" dataDxfId="107"/>
    <tableColumn id="7" xr3:uid="{2BFA8457-52EB-4ACB-9809-0CF0CD6E7E61}" uniqueName="7" name="Shares" queryTableFieldId="7" dataDxfId="106"/>
    <tableColumn id="8" xr3:uid="{685C493C-D47B-47F6-9A85-7EA78CE605BE}" uniqueName="8" name="Comments" queryTableFieldId="8" dataDxfId="105"/>
    <tableColumn id="9" xr3:uid="{34580D10-3E74-4130-ADAC-DF5064CB70E2}" uniqueName="9" name="Impressions" queryTableFieldId="9" dataDxfId="104"/>
    <tableColumn id="17" xr3:uid="{3A055C29-2550-4056-B198-AFCB90268EC9}" uniqueName="17" name="Engagement Rate" queryTableFieldId="15" dataDxfId="103" dataCellStyle="Percent">
      <calculatedColumnFormula>(Posts[[#This Row],[Likes]]+Posts[[#This Row],[Shares]]+Posts[[#This Row],[Comments]])/Posts[[#This Row],[Impressions]]</calculatedColumnFormula>
    </tableColumn>
    <tableColumn id="10" xr3:uid="{10459EDE-BA7D-4048-8B8F-7AEA15FECF66}" uniqueName="10" name="Reach" queryTableFieldId="10" dataDxfId="102"/>
    <tableColumn id="11" xr3:uid="{78212DEF-53BB-4249-9C7B-E71AF5AB57DB}" uniqueName="11" name="Clicks" queryTableFieldId="11" dataDxfId="101"/>
    <tableColumn id="12" xr3:uid="{90211B76-1640-4CF3-A2B0-4B286D1101FE}" uniqueName="12" name="Hashtags Used_1" queryTableFieldId="12" dataDxfId="100"/>
    <tableColumn id="13" xr3:uid="{0E358366-79E8-447B-9A4B-1A70758BAEAA}" uniqueName="13" name="Hashtags Used_2" queryTableFieldId="13" dataDxfId="99"/>
    <tableColumn id="14" xr3:uid="{0EAB23F0-9B1D-4CED-ABBA-78A0BEC4BA01}" uniqueName="14" name="Campaign_Name" queryTableFieldId="14" dataDxfId="98"/>
    <tableColumn id="15" xr3:uid="{33B5F52C-8377-496D-95E0-A65C7A9BA358}" uniqueName="15" name="Total Enagagement" queryTableFieldId="16" dataDxfId="97">
      <calculatedColumnFormula>SUM(Posts[[#This Row],[Likes]:[Comments]])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395EB-7C17-4FFF-B4BE-08AB855E8B89}" name="Engagement_Summary" displayName="Engagement_Summary" ref="A1:I202" tableType="queryTable" totalsRowCount="1" headerRowDxfId="96" dataDxfId="95">
  <autoFilter ref="A1:I201" xr:uid="{1E1395EB-7C17-4FFF-B4BE-08AB855E8B89}"/>
  <tableColumns count="9">
    <tableColumn id="1" xr3:uid="{26110A13-E8F0-46AE-9810-BE0ADE2E95A3}" uniqueName="1" name="Week_Start_Date" queryTableFieldId="1" dataDxfId="94" totalsRowDxfId="93"/>
    <tableColumn id="2" xr3:uid="{00B42050-1DBD-400F-84E7-4D85E2F2D1D6}" uniqueName="2" name="Platform" queryTableFieldId="2" dataDxfId="92" totalsRowDxfId="91"/>
    <tableColumn id="3" xr3:uid="{322354FC-A3FA-4900-8B02-76A902AA5480}" uniqueName="3" name="New_Followers" queryTableFieldId="3" dataDxfId="90" totalsRowDxfId="89"/>
    <tableColumn id="4" xr3:uid="{4E1289EE-D6DE-48E2-A399-E6B589C99655}" uniqueName="4" name="Unfollows" queryTableFieldId="4" dataDxfId="88" totalsRowDxfId="87"/>
    <tableColumn id="5" xr3:uid="{450479CD-89B9-4E7A-9B5B-622BAFA72366}" uniqueName="5" name="Total_Followers" queryTableFieldId="5" dataDxfId="86" totalsRowDxfId="85"/>
    <tableColumn id="11" xr3:uid="{49042F4D-06D5-4A52-B4BA-CD418140EAA7}" uniqueName="11" name="Net Followers" queryTableFieldId="12" dataDxfId="84" totalsRowDxfId="83">
      <calculatedColumnFormula>Engagement_Summary[[#This Row],[New_Followers]]-Engagement_Summary[[#This Row],[Unfollows]]</calculatedColumnFormula>
    </tableColumn>
    <tableColumn id="9" xr3:uid="{4ED5B6C9-AB00-40E5-B3F6-62554DFDDE3F}" uniqueName="9" name="growth Rate" queryTableFieldId="8" dataDxfId="82" totalsRowDxfId="81" dataCellStyle="Percent" totalsRowCellStyle="Percent">
      <calculatedColumnFormula>(Engagement_Summary[[#This Row],[New_Followers]]-Engagement_Summary[[#This Row],[Unfollows]])/Engagement_Summary[[#This Row],[Total_Followers]]</calculatedColumnFormula>
    </tableColumn>
    <tableColumn id="6" xr3:uid="{14C7EDBE-8FB8-4BFE-A677-1089A89E378B}" uniqueName="6" name="Engagement_Rate" queryTableFieldId="6" dataDxfId="80" totalsRowDxfId="79"/>
    <tableColumn id="7" xr3:uid="{FC247886-645C-4771-BF7D-920C9CDA5B19}" uniqueName="7" name="Ad_Spend" queryTableFieldId="7" dataDxfId="78" totalsRowDxfId="7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12B8F-AEEE-4201-8C46-38C6BB2C6C47}" name="Campaign_Metadata" displayName="Campaign_Metadata" ref="A1:I6" tableType="queryTable" totalsRowCount="1" headerRowDxfId="76" dataDxfId="75" totalsRowDxfId="74">
  <autoFilter ref="A1:I5" xr:uid="{19B12B8F-AEEE-4201-8C46-38C6BB2C6C47}"/>
  <tableColumns count="9">
    <tableColumn id="1" xr3:uid="{7CEBD1F6-ABD7-414B-84F3-9E018325F12B}" uniqueName="1" name="Campaign_Name" queryTableFieldId="1" dataDxfId="73" totalsRowDxfId="72"/>
    <tableColumn id="2" xr3:uid="{33C8AB2E-8D10-4BBB-B120-CBE7F660FCC1}" uniqueName="2" name="Start_Date" queryTableFieldId="2" dataDxfId="71" totalsRowDxfId="70"/>
    <tableColumn id="3" xr3:uid="{F734B609-2CC8-495F-B5B4-FD2E9C960791}" uniqueName="3" name="End_Date" queryTableFieldId="3" dataDxfId="69" totalsRowDxfId="68"/>
    <tableColumn id="4" xr3:uid="{E1A50F06-6FAE-474E-AF9B-92CFBF5BA0A4}" uniqueName="4" name="Objective" queryTableFieldId="4" dataDxfId="67" totalsRowDxfId="66"/>
    <tableColumn id="5" xr3:uid="{35415140-4386-419E-AB13-9EF4AB2860EF}" uniqueName="5" name="Total_Budget" queryTableFieldId="5" dataDxfId="65" totalsRowDxfId="64"/>
    <tableColumn id="6" xr3:uid="{53FCDE65-C340-4C3F-9877-BB1A0D364CAC}" uniqueName="6" name="Target_Platforms_1" queryTableFieldId="6" dataDxfId="63" totalsRowDxfId="62"/>
    <tableColumn id="7" xr3:uid="{95BFBED2-F082-4E71-8A87-F39AEA198C17}" uniqueName="7" name="Target_Platforms_2" queryTableFieldId="7" dataDxfId="61" totalsRowDxfId="60"/>
    <tableColumn id="8" xr3:uid="{48A834D8-345D-4204-905E-92B574281B0F}" uniqueName="8" name="Primary_Hashtags_1" queryTableFieldId="8" dataDxfId="59" totalsRowDxfId="58"/>
    <tableColumn id="9" xr3:uid="{ECEF3275-D426-4699-B2DD-4B70F70944E4}" uniqueName="9" name="Primary_Hashtags_2" queryTableFieldId="9" dataDxfId="57" totalsRowDxf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E25A7F-1403-49A7-A9AA-C55D70766B37}" name="Posts__3" displayName="Posts__3" ref="A1:N484" tableType="queryTable" totalsRowShown="0" headerRowDxfId="55" dataDxfId="54">
  <autoFilter ref="A1:N484" xr:uid="{E4E25A7F-1403-49A7-A9AA-C55D70766B37}"/>
  <tableColumns count="14">
    <tableColumn id="1" xr3:uid="{BD4B2C01-0ECA-4757-8C0B-59FB29469419}" uniqueName="1" name="Post ID" queryTableFieldId="1" dataDxfId="53"/>
    <tableColumn id="2" xr3:uid="{D3F90C04-462B-4AE2-B777-C11DFCAC6347}" uniqueName="2" name="Platform" queryTableFieldId="2" dataDxfId="52"/>
    <tableColumn id="3" xr3:uid="{3821FED0-73B1-4EA4-9F2E-EE748E1B0ADD}" uniqueName="3" name="Date" queryTableFieldId="3" dataDxfId="51"/>
    <tableColumn id="4" xr3:uid="{F0020BA3-0DEA-4B37-AF9D-1F03A6D215B4}" uniqueName="4" name="Content Type" queryTableFieldId="4" dataDxfId="50"/>
    <tableColumn id="5" xr3:uid="{577172DA-EF82-4EE8-9E88-D2A739B9F7F7}" uniqueName="5" name="Post Text" queryTableFieldId="5" dataDxfId="49"/>
    <tableColumn id="6" xr3:uid="{FB092313-6EBC-4385-BDEF-DCA46FF5CBAE}" uniqueName="6" name="Likes" queryTableFieldId="6" dataDxfId="48"/>
    <tableColumn id="7" xr3:uid="{D06127E0-78F5-4595-A607-BB635986B5F0}" uniqueName="7" name="Shares" queryTableFieldId="7" dataDxfId="47"/>
    <tableColumn id="8" xr3:uid="{7103462B-3DEA-43C5-A8CB-78F65CE4A15F}" uniqueName="8" name="Comments" queryTableFieldId="8" dataDxfId="46"/>
    <tableColumn id="9" xr3:uid="{6FE7E065-7493-461B-9CE4-68A41BC5D2A8}" uniqueName="9" name="Impressions" queryTableFieldId="9" dataDxfId="45"/>
    <tableColumn id="10" xr3:uid="{349D44D6-5AF8-4407-A2D4-B235BEE9677D}" uniqueName="10" name="Engagement Rate" queryTableFieldId="10" dataDxfId="44" dataCellStyle="Percent"/>
    <tableColumn id="11" xr3:uid="{65C0A52F-8E33-41B6-B307-3D414B60BD0E}" uniqueName="11" name="Reach" queryTableFieldId="11" dataDxfId="43"/>
    <tableColumn id="12" xr3:uid="{89F58FA4-0DCE-4F16-92C3-643A95F2A581}" uniqueName="12" name="Clicks" queryTableFieldId="12" dataDxfId="42"/>
    <tableColumn id="13" xr3:uid="{BD3A8DA3-678F-4B61-936C-1D5413075C89}" uniqueName="13" name="Campaign_Name" queryTableFieldId="13" dataDxfId="41"/>
    <tableColumn id="14" xr3:uid="{2C22D7F9-B1F5-4E99-86F8-49502096C2EA}" uniqueName="14" name="Hashtag" queryTableFieldId="14" dataDxfId="4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AA5D07-1B9A-4CDF-8CC6-67DE470FD061}" name="Table4" displayName="Table4" ref="A4:K8" totalsRowShown="0" headerRowBorderDxfId="11" tableBorderDxfId="12">
  <autoFilter ref="A4:K8" xr:uid="{AA68F87F-0CC5-4AE1-93EC-85D902AEECD2}"/>
  <sortState xmlns:xlrd2="http://schemas.microsoft.com/office/spreadsheetml/2017/richdata2" ref="A5:K8">
    <sortCondition descending="1" ref="K4:K8"/>
  </sortState>
  <tableColumns count="11">
    <tableColumn id="1" xr3:uid="{2B4F595A-EC0F-4725-AF08-9313A651CA92}" name="Campaign Name" dataDxfId="10"/>
    <tableColumn id="2" xr3:uid="{AFA94222-957C-4790-B13E-1E35B1B70E85}" name="Start Date" dataDxfId="9"/>
    <tableColumn id="3" xr3:uid="{1975A40D-3E71-47B7-8A45-A140189E2697}" name="End Date" dataDxfId="8"/>
    <tableColumn id="4" xr3:uid="{3577B0C4-9E70-4101-B7DE-953BFB50B492}" name="Campaign Days" dataDxfId="7">
      <calculatedColumnFormula>(C5-B5)+1</calculatedColumnFormula>
    </tableColumn>
    <tableColumn id="5" xr3:uid="{2ADDBF25-DB50-469B-AE5D-12E5AC753A0E}" name="Pre_Campaign Start" dataDxfId="6">
      <calculatedColumnFormula>EDATE(B5,-1)</calculatedColumnFormula>
    </tableColumn>
    <tableColumn id="6" xr3:uid="{26982E50-5B96-4B63-BA99-948F3CB9850C}" name="Pre_Campaign End" dataDxfId="5"/>
    <tableColumn id="7" xr3:uid="{9FCA0A84-D632-4150-A72D-519FA936ECCD}" name="Engagement During " dataDxfId="4"/>
    <tableColumn id="8" xr3:uid="{38F13D67-4413-457E-B74E-135129BB2D04}" name="Engagement Before" dataDxfId="3">
      <calculatedColumnFormula>SUMIFS(Posts!$P:$P,Posts!$O:$O,'5.1.2'!$A5,Posts!$C:$C,"&gt;="&amp;E5,Posts!$C:$C,"&lt;="&amp;'5.1.2'!F5)</calculatedColumnFormula>
    </tableColumn>
    <tableColumn id="9" xr3:uid="{DFD4913B-8578-44C3-A45F-4A54D11758B8}" name="Daily engagement During" dataDxfId="2">
      <calculatedColumnFormula>G5/D5</calculatedColumnFormula>
    </tableColumn>
    <tableColumn id="10" xr3:uid="{17D3B10B-8CBB-46D5-B97D-A5279ED8E81C}" name="Daily engagement Before" dataDxfId="1">
      <calculatedColumnFormula>H5/30</calculatedColumnFormula>
    </tableColumn>
    <tableColumn id="11" xr3:uid="{564FB980-9AEA-41C6-8B16-2B54A487C302}" name="Engagement Uplift%" dataDxfId="0">
      <calculatedColumnFormula>(Table4[[#This Row],[Daily engagement During]]-Table4[[#This Row],[Daily engagement Before]])/Table4[[#This Row],[Daily engagement During]]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751351-645A-47E1-8020-D5E5B70AE7D7}" name="Table46" displayName="Table46" ref="A4:D8" totalsRowShown="0" headerRowDxfId="21" dataDxfId="19" headerRowBorderDxfId="20" tableBorderDxfId="18" totalsRowBorderDxfId="17">
  <autoFilter ref="A4:D8" xr:uid="{AC751351-645A-47E1-8020-D5E5B70AE7D7}"/>
  <sortState xmlns:xlrd2="http://schemas.microsoft.com/office/spreadsheetml/2017/richdata2" ref="A5:D8">
    <sortCondition ref="D4:D8"/>
  </sortState>
  <tableColumns count="4">
    <tableColumn id="1" xr3:uid="{E7D808CA-4667-4E82-BFC3-90A8D794444D}" name="Campaign Name" dataDxfId="16"/>
    <tableColumn id="2" xr3:uid="{50461B95-D9FE-4D81-8ADA-66C69BA31E07}" name="Campaign Ad spend" dataDxfId="13"/>
    <tableColumn id="3" xr3:uid="{1B38A74C-6165-4194-972A-FC2A316604D5}" name="Total Engagement" dataDxfId="15">
      <calculatedColumnFormula>SUMIFS(Posts[Total Enagagement],Posts[Campaign_Name],A5)</calculatedColumnFormula>
    </tableColumn>
    <tableColumn id="4" xr3:uid="{973308B6-B0C9-4D4C-8F60-C17AC926B4D0}" name="ROI" dataDxfId="14">
      <calculatedColumnFormula>B5/C5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D0AB-FAF5-469F-A14B-C47163DB6813}">
  <sheetPr>
    <tabColor rgb="FFCCFFCC"/>
  </sheetPr>
  <dimension ref="A1:P301"/>
  <sheetViews>
    <sheetView topLeftCell="B1" workbookViewId="0">
      <selection activeCell="P2" sqref="P2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8.42578125" style="7" customWidth="1"/>
    <col min="4" max="4" width="15.140625" style="1" bestFit="1" customWidth="1"/>
    <col min="5" max="5" width="41.28515625" style="1" bestFit="1" customWidth="1"/>
    <col min="6" max="6" width="7.7109375" style="7" bestFit="1" customWidth="1"/>
    <col min="7" max="7" width="9.140625" style="7"/>
    <col min="8" max="8" width="12.85546875" style="7" bestFit="1" customWidth="1"/>
    <col min="9" max="9" width="14" style="7" bestFit="1" customWidth="1"/>
    <col min="10" max="10" width="18.85546875" style="30" bestFit="1" customWidth="1"/>
    <col min="11" max="11" width="8.5703125" style="7" bestFit="1" customWidth="1"/>
    <col min="12" max="12" width="18.5703125" style="7" bestFit="1" customWidth="1"/>
    <col min="13" max="13" width="18.5703125" style="1" bestFit="1" customWidth="1"/>
    <col min="14" max="15" width="18.42578125" style="1" bestFit="1" customWidth="1"/>
    <col min="16" max="16" width="22.7109375" style="7" bestFit="1" customWidth="1"/>
    <col min="17" max="17" width="11" style="1" customWidth="1"/>
    <col min="18" max="16384" width="9.140625" style="1"/>
  </cols>
  <sheetData>
    <row r="1" spans="1:16" x14ac:dyDescent="0.25">
      <c r="A1" s="1" t="s">
        <v>35</v>
      </c>
      <c r="B1" s="1" t="s">
        <v>29</v>
      </c>
      <c r="C1" s="7" t="s">
        <v>36</v>
      </c>
      <c r="D1" s="1" t="s">
        <v>37</v>
      </c>
      <c r="E1" s="1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29" t="s">
        <v>360</v>
      </c>
      <c r="K1" s="7" t="s">
        <v>43</v>
      </c>
      <c r="L1" s="7" t="s">
        <v>44</v>
      </c>
      <c r="M1" s="1" t="s">
        <v>45</v>
      </c>
      <c r="N1" s="1" t="s">
        <v>46</v>
      </c>
      <c r="O1" s="1" t="s">
        <v>0</v>
      </c>
      <c r="P1" s="7" t="s">
        <v>370</v>
      </c>
    </row>
    <row r="2" spans="1:16" x14ac:dyDescent="0.25">
      <c r="A2" s="6" t="s">
        <v>47</v>
      </c>
      <c r="B2" s="6" t="s">
        <v>11</v>
      </c>
      <c r="C2" s="9">
        <v>45781</v>
      </c>
      <c r="D2" s="6" t="s">
        <v>48</v>
      </c>
      <c r="E2" s="6" t="s">
        <v>49</v>
      </c>
      <c r="F2" s="7">
        <v>2414</v>
      </c>
      <c r="G2" s="7">
        <v>245</v>
      </c>
      <c r="H2" s="7">
        <v>137</v>
      </c>
      <c r="I2" s="7">
        <v>21181</v>
      </c>
      <c r="J2" s="28">
        <f>(Posts[[#This Row],[Likes]]+Posts[[#This Row],[Shares]]+Posts[[#This Row],[Comments]])/Posts[[#This Row],[Impressions]]</f>
        <v>0.13200509890939993</v>
      </c>
      <c r="K2" s="7">
        <v>45292</v>
      </c>
      <c r="L2" s="7">
        <v>133</v>
      </c>
      <c r="M2" s="6" t="s">
        <v>22</v>
      </c>
      <c r="N2" s="6" t="s">
        <v>18</v>
      </c>
      <c r="O2" s="6" t="s">
        <v>19</v>
      </c>
      <c r="P2" s="8">
        <f>SUM(Posts[[#This Row],[Likes]:[Comments]])</f>
        <v>2796</v>
      </c>
    </row>
    <row r="3" spans="1:16" x14ac:dyDescent="0.25">
      <c r="A3" s="6" t="s">
        <v>50</v>
      </c>
      <c r="B3" s="6" t="s">
        <v>11</v>
      </c>
      <c r="C3" s="9">
        <v>45689</v>
      </c>
      <c r="D3" s="6" t="s">
        <v>48</v>
      </c>
      <c r="E3" s="6" t="s">
        <v>51</v>
      </c>
      <c r="F3" s="7">
        <v>1934</v>
      </c>
      <c r="G3" s="7">
        <v>210</v>
      </c>
      <c r="H3" s="7">
        <v>393</v>
      </c>
      <c r="I3" s="7">
        <v>29129</v>
      </c>
      <c r="J3" s="28">
        <f>(Posts[[#This Row],[Likes]]+Posts[[#This Row],[Shares]]+Posts[[#This Row],[Comments]])/Posts[[#This Row],[Impressions]]</f>
        <v>8.7095334546328396E-2</v>
      </c>
      <c r="K3" s="7">
        <v>73287</v>
      </c>
      <c r="L3" s="7">
        <v>273</v>
      </c>
      <c r="M3" s="6" t="s">
        <v>26</v>
      </c>
      <c r="N3" s="6"/>
      <c r="O3" s="6" t="s">
        <v>23</v>
      </c>
      <c r="P3" s="8">
        <f>SUM(Posts[[#This Row],[Likes]:[Comments]])</f>
        <v>2537</v>
      </c>
    </row>
    <row r="4" spans="1:16" x14ac:dyDescent="0.25">
      <c r="A4" s="6" t="s">
        <v>52</v>
      </c>
      <c r="B4" s="6" t="s">
        <v>17</v>
      </c>
      <c r="C4" s="9">
        <v>45629</v>
      </c>
      <c r="D4" s="6" t="s">
        <v>53</v>
      </c>
      <c r="E4" s="6" t="s">
        <v>54</v>
      </c>
      <c r="F4" s="7">
        <v>3092</v>
      </c>
      <c r="G4" s="7">
        <v>177</v>
      </c>
      <c r="H4" s="7">
        <v>81</v>
      </c>
      <c r="I4" s="7">
        <v>47533</v>
      </c>
      <c r="J4" s="28">
        <f>(Posts[[#This Row],[Likes]]+Posts[[#This Row],[Shares]]+Posts[[#This Row],[Comments]])/Posts[[#This Row],[Impressions]]</f>
        <v>7.0477352576105018E-2</v>
      </c>
      <c r="K4" s="7">
        <v>29220</v>
      </c>
      <c r="L4" s="7">
        <v>121</v>
      </c>
      <c r="M4" s="6" t="s">
        <v>14</v>
      </c>
      <c r="N4" s="6" t="s">
        <v>18</v>
      </c>
      <c r="O4" s="6" t="s">
        <v>19</v>
      </c>
      <c r="P4" s="8">
        <f>SUM(Posts[[#This Row],[Likes]:[Comments]])</f>
        <v>3350</v>
      </c>
    </row>
    <row r="5" spans="1:16" x14ac:dyDescent="0.25">
      <c r="A5" s="6" t="s">
        <v>55</v>
      </c>
      <c r="B5" s="6" t="s">
        <v>11</v>
      </c>
      <c r="C5" s="9">
        <v>45629</v>
      </c>
      <c r="D5" s="6" t="s">
        <v>48</v>
      </c>
      <c r="E5" s="6" t="s">
        <v>56</v>
      </c>
      <c r="F5" s="7">
        <v>3173</v>
      </c>
      <c r="G5" s="7">
        <v>229</v>
      </c>
      <c r="H5" s="7">
        <v>197</v>
      </c>
      <c r="I5" s="7">
        <v>29604</v>
      </c>
      <c r="J5" s="28">
        <f>(Posts[[#This Row],[Likes]]+Posts[[#This Row],[Shares]]+Posts[[#This Row],[Comments]])/Posts[[#This Row],[Impressions]]</f>
        <v>0.1215714092690177</v>
      </c>
      <c r="K5" s="7">
        <v>21809</v>
      </c>
      <c r="L5" s="7">
        <v>272</v>
      </c>
      <c r="M5" s="6" t="s">
        <v>22</v>
      </c>
      <c r="N5" s="6" t="s">
        <v>18</v>
      </c>
      <c r="O5" s="6" t="s">
        <v>19</v>
      </c>
      <c r="P5" s="8">
        <f>SUM(Posts[[#This Row],[Likes]:[Comments]])</f>
        <v>3599</v>
      </c>
    </row>
    <row r="6" spans="1:16" x14ac:dyDescent="0.25">
      <c r="A6" s="6" t="s">
        <v>57</v>
      </c>
      <c r="B6" s="6" t="s">
        <v>12</v>
      </c>
      <c r="C6" s="9">
        <v>45388</v>
      </c>
      <c r="D6" s="6" t="s">
        <v>48</v>
      </c>
      <c r="E6" s="6" t="s">
        <v>58</v>
      </c>
      <c r="F6" s="7">
        <v>2748</v>
      </c>
      <c r="G6" s="7">
        <v>145</v>
      </c>
      <c r="H6" s="7">
        <v>315</v>
      </c>
      <c r="I6" s="7">
        <v>24401</v>
      </c>
      <c r="J6" s="28">
        <f>(Posts[[#This Row],[Likes]]+Posts[[#This Row],[Shares]]+Posts[[#This Row],[Comments]])/Posts[[#This Row],[Impressions]]</f>
        <v>0.1314700217204213</v>
      </c>
      <c r="K6" s="7">
        <v>61182</v>
      </c>
      <c r="L6" s="7">
        <v>200</v>
      </c>
      <c r="M6" s="6" t="s">
        <v>26</v>
      </c>
      <c r="N6" s="6" t="s">
        <v>13</v>
      </c>
      <c r="O6" s="6" t="s">
        <v>23</v>
      </c>
      <c r="P6" s="8">
        <f>SUM(Posts[[#This Row],[Likes]:[Comments]])</f>
        <v>3208</v>
      </c>
    </row>
    <row r="7" spans="1:16" x14ac:dyDescent="0.25">
      <c r="A7" s="6" t="s">
        <v>59</v>
      </c>
      <c r="B7" s="6" t="s">
        <v>12</v>
      </c>
      <c r="C7" s="9">
        <v>45456</v>
      </c>
      <c r="D7" s="6" t="s">
        <v>48</v>
      </c>
      <c r="E7" s="6" t="s">
        <v>60</v>
      </c>
      <c r="F7" s="7">
        <v>3882</v>
      </c>
      <c r="G7" s="7">
        <v>239</v>
      </c>
      <c r="H7" s="7">
        <v>275</v>
      </c>
      <c r="I7" s="7">
        <v>58748</v>
      </c>
      <c r="J7" s="28">
        <f>(Posts[[#This Row],[Likes]]+Posts[[#This Row],[Shares]]+Posts[[#This Row],[Comments]])/Posts[[#This Row],[Impressions]]</f>
        <v>7.4828079253761837E-2</v>
      </c>
      <c r="K7" s="7">
        <v>44646</v>
      </c>
      <c r="L7" s="7">
        <v>149</v>
      </c>
      <c r="M7" s="6" t="s">
        <v>26</v>
      </c>
      <c r="N7" s="6" t="s">
        <v>13</v>
      </c>
      <c r="O7" s="6" t="s">
        <v>23</v>
      </c>
      <c r="P7" s="8">
        <f>SUM(Posts[[#This Row],[Likes]:[Comments]])</f>
        <v>4396</v>
      </c>
    </row>
    <row r="8" spans="1:16" x14ac:dyDescent="0.25">
      <c r="A8" s="6" t="s">
        <v>61</v>
      </c>
      <c r="B8" s="6" t="s">
        <v>17</v>
      </c>
      <c r="C8" s="9">
        <v>45645</v>
      </c>
      <c r="D8" s="6" t="s">
        <v>53</v>
      </c>
      <c r="E8" s="6" t="s">
        <v>62</v>
      </c>
      <c r="F8" s="7">
        <v>4674</v>
      </c>
      <c r="G8" s="7">
        <v>409</v>
      </c>
      <c r="H8" s="7">
        <v>327</v>
      </c>
      <c r="I8" s="7">
        <v>20756</v>
      </c>
      <c r="J8" s="28">
        <f>(Posts[[#This Row],[Likes]]+Posts[[#This Row],[Shares]]+Posts[[#This Row],[Comments]])/Posts[[#This Row],[Impressions]]</f>
        <v>0.26064752360763155</v>
      </c>
      <c r="K8" s="7">
        <v>63599</v>
      </c>
      <c r="L8" s="7">
        <v>212</v>
      </c>
      <c r="M8" s="6" t="s">
        <v>22</v>
      </c>
      <c r="N8" s="6" t="s">
        <v>18</v>
      </c>
      <c r="O8" s="6" t="s">
        <v>19</v>
      </c>
      <c r="P8" s="8">
        <f>SUM(Posts[[#This Row],[Likes]:[Comments]])</f>
        <v>5410</v>
      </c>
    </row>
    <row r="9" spans="1:16" x14ac:dyDescent="0.25">
      <c r="A9" s="6" t="s">
        <v>63</v>
      </c>
      <c r="B9" s="6" t="s">
        <v>17</v>
      </c>
      <c r="C9" s="9">
        <v>45421</v>
      </c>
      <c r="D9" s="6" t="s">
        <v>53</v>
      </c>
      <c r="E9" s="6" t="s">
        <v>56</v>
      </c>
      <c r="F9" s="7">
        <v>1428</v>
      </c>
      <c r="G9" s="7">
        <v>347</v>
      </c>
      <c r="H9" s="7">
        <v>67</v>
      </c>
      <c r="I9" s="7">
        <v>21148</v>
      </c>
      <c r="J9" s="28">
        <f>(Posts[[#This Row],[Likes]]+Posts[[#This Row],[Shares]]+Posts[[#This Row],[Comments]])/Posts[[#This Row],[Impressions]]</f>
        <v>8.7100435029317191E-2</v>
      </c>
      <c r="K9" s="7">
        <v>19712</v>
      </c>
      <c r="L9" s="7">
        <v>120</v>
      </c>
      <c r="M9" s="6" t="s">
        <v>26</v>
      </c>
      <c r="N9" s="6" t="s">
        <v>14</v>
      </c>
      <c r="O9" s="6" t="s">
        <v>19</v>
      </c>
      <c r="P9" s="8">
        <f>SUM(Posts[[#This Row],[Likes]:[Comments]])</f>
        <v>1842</v>
      </c>
    </row>
    <row r="10" spans="1:16" x14ac:dyDescent="0.25">
      <c r="A10" s="6" t="s">
        <v>64</v>
      </c>
      <c r="B10" s="6" t="s">
        <v>17</v>
      </c>
      <c r="C10" s="9">
        <v>45823</v>
      </c>
      <c r="D10" s="6" t="s">
        <v>48</v>
      </c>
      <c r="E10" s="6" t="s">
        <v>65</v>
      </c>
      <c r="F10" s="7">
        <v>4432</v>
      </c>
      <c r="G10" s="7">
        <v>223</v>
      </c>
      <c r="H10" s="7">
        <v>299</v>
      </c>
      <c r="I10" s="7">
        <v>59016</v>
      </c>
      <c r="J10" s="28">
        <f>(Posts[[#This Row],[Likes]]+Posts[[#This Row],[Shares]]+Posts[[#This Row],[Comments]])/Posts[[#This Row],[Impressions]]</f>
        <v>8.3943337400027115E-2</v>
      </c>
      <c r="K10" s="7">
        <v>21742</v>
      </c>
      <c r="L10" s="7">
        <v>171</v>
      </c>
      <c r="M10" s="6" t="s">
        <v>18</v>
      </c>
      <c r="N10" s="6"/>
      <c r="O10" s="6" t="s">
        <v>19</v>
      </c>
      <c r="P10" s="8">
        <f>SUM(Posts[[#This Row],[Likes]:[Comments]])</f>
        <v>4954</v>
      </c>
    </row>
    <row r="11" spans="1:16" x14ac:dyDescent="0.25">
      <c r="A11" s="6" t="s">
        <v>66</v>
      </c>
      <c r="B11" s="6" t="s">
        <v>17</v>
      </c>
      <c r="C11" s="9">
        <v>45630</v>
      </c>
      <c r="D11" s="6" t="s">
        <v>48</v>
      </c>
      <c r="E11" s="6" t="s">
        <v>56</v>
      </c>
      <c r="F11" s="7">
        <v>2357</v>
      </c>
      <c r="G11" s="7">
        <v>274</v>
      </c>
      <c r="H11" s="7">
        <v>172</v>
      </c>
      <c r="I11" s="7">
        <v>21566</v>
      </c>
      <c r="J11" s="28">
        <f>(Posts[[#This Row],[Likes]]+Posts[[#This Row],[Shares]]+Posts[[#This Row],[Comments]])/Posts[[#This Row],[Impressions]]</f>
        <v>0.12997310581470833</v>
      </c>
      <c r="K11" s="7">
        <v>66829</v>
      </c>
      <c r="L11" s="7">
        <v>284</v>
      </c>
      <c r="M11" s="6" t="s">
        <v>18</v>
      </c>
      <c r="N11" s="6"/>
      <c r="O11" s="6" t="s">
        <v>19</v>
      </c>
      <c r="P11" s="8">
        <f>SUM(Posts[[#This Row],[Likes]:[Comments]])</f>
        <v>2803</v>
      </c>
    </row>
    <row r="12" spans="1:16" x14ac:dyDescent="0.25">
      <c r="A12" s="6" t="s">
        <v>67</v>
      </c>
      <c r="B12" s="6" t="s">
        <v>17</v>
      </c>
      <c r="C12" s="9">
        <v>45357</v>
      </c>
      <c r="D12" s="6" t="s">
        <v>48</v>
      </c>
      <c r="E12" s="6" t="s">
        <v>49</v>
      </c>
      <c r="F12" s="7">
        <v>1971</v>
      </c>
      <c r="G12" s="7">
        <v>370</v>
      </c>
      <c r="H12" s="7">
        <v>306</v>
      </c>
      <c r="I12" s="7">
        <v>31316</v>
      </c>
      <c r="J12" s="28">
        <f>(Posts[[#This Row],[Likes]]+Posts[[#This Row],[Shares]]+Posts[[#This Row],[Comments]])/Posts[[#This Row],[Impressions]]</f>
        <v>8.4525482181632389E-2</v>
      </c>
      <c r="K12" s="7">
        <v>27897</v>
      </c>
      <c r="L12" s="7">
        <v>88</v>
      </c>
      <c r="M12" s="6" t="s">
        <v>22</v>
      </c>
      <c r="N12" s="6"/>
      <c r="O12" s="6" t="s">
        <v>23</v>
      </c>
      <c r="P12" s="8">
        <f>SUM(Posts[[#This Row],[Likes]:[Comments]])</f>
        <v>2647</v>
      </c>
    </row>
    <row r="13" spans="1:16" x14ac:dyDescent="0.25">
      <c r="A13" s="6" t="s">
        <v>68</v>
      </c>
      <c r="B13" s="6" t="s">
        <v>11</v>
      </c>
      <c r="C13" s="9">
        <v>45426</v>
      </c>
      <c r="D13" s="6" t="s">
        <v>48</v>
      </c>
      <c r="E13" s="6" t="s">
        <v>49</v>
      </c>
      <c r="F13" s="7">
        <v>1485</v>
      </c>
      <c r="G13" s="7">
        <v>353</v>
      </c>
      <c r="H13" s="7">
        <v>244</v>
      </c>
      <c r="I13" s="7">
        <v>38419</v>
      </c>
      <c r="J13" s="28">
        <f>(Posts[[#This Row],[Likes]]+Posts[[#This Row],[Shares]]+Posts[[#This Row],[Comments]])/Posts[[#This Row],[Impressions]]</f>
        <v>5.4191936281527367E-2</v>
      </c>
      <c r="K13" s="7">
        <v>38556</v>
      </c>
      <c r="L13" s="7">
        <v>86</v>
      </c>
      <c r="M13" s="6" t="s">
        <v>22</v>
      </c>
      <c r="N13" s="6" t="s">
        <v>18</v>
      </c>
      <c r="O13" s="6" t="s">
        <v>19</v>
      </c>
      <c r="P13" s="8">
        <f>SUM(Posts[[#This Row],[Likes]:[Comments]])</f>
        <v>2082</v>
      </c>
    </row>
    <row r="14" spans="1:16" x14ac:dyDescent="0.25">
      <c r="A14" s="6" t="s">
        <v>69</v>
      </c>
      <c r="B14" s="6" t="s">
        <v>17</v>
      </c>
      <c r="C14" s="9">
        <v>45826</v>
      </c>
      <c r="D14" s="6" t="s">
        <v>53</v>
      </c>
      <c r="E14" s="6" t="s">
        <v>49</v>
      </c>
      <c r="F14" s="7">
        <v>3956</v>
      </c>
      <c r="G14" s="7">
        <v>319</v>
      </c>
      <c r="H14" s="7">
        <v>61</v>
      </c>
      <c r="I14" s="7">
        <v>58162</v>
      </c>
      <c r="J14" s="28">
        <f>(Posts[[#This Row],[Likes]]+Posts[[#This Row],[Shares]]+Posts[[#This Row],[Comments]])/Posts[[#This Row],[Impressions]]</f>
        <v>7.4550393727863554E-2</v>
      </c>
      <c r="K14" s="7">
        <v>28720</v>
      </c>
      <c r="L14" s="7">
        <v>213</v>
      </c>
      <c r="M14" s="6" t="s">
        <v>14</v>
      </c>
      <c r="N14" s="6" t="s">
        <v>18</v>
      </c>
      <c r="O14" s="6" t="s">
        <v>19</v>
      </c>
      <c r="P14" s="8">
        <f>SUM(Posts[[#This Row],[Likes]:[Comments]])</f>
        <v>4336</v>
      </c>
    </row>
    <row r="15" spans="1:16" x14ac:dyDescent="0.25">
      <c r="A15" s="6" t="s">
        <v>70</v>
      </c>
      <c r="B15" s="6" t="s">
        <v>17</v>
      </c>
      <c r="C15" s="9">
        <v>45573</v>
      </c>
      <c r="D15" s="6" t="s">
        <v>48</v>
      </c>
      <c r="E15" s="6" t="s">
        <v>71</v>
      </c>
      <c r="F15" s="7">
        <v>2460</v>
      </c>
      <c r="G15" s="7">
        <v>409</v>
      </c>
      <c r="H15" s="7">
        <v>253</v>
      </c>
      <c r="I15" s="7">
        <v>36702</v>
      </c>
      <c r="J15" s="28">
        <f>(Posts[[#This Row],[Likes]]+Posts[[#This Row],[Shares]]+Posts[[#This Row],[Comments]])/Posts[[#This Row],[Impressions]]</f>
        <v>8.5063484278785892E-2</v>
      </c>
      <c r="K15" s="7">
        <v>46122</v>
      </c>
      <c r="L15" s="7">
        <v>264</v>
      </c>
      <c r="M15" s="6" t="s">
        <v>18</v>
      </c>
      <c r="N15" s="6"/>
      <c r="O15" s="6" t="s">
        <v>19</v>
      </c>
      <c r="P15" s="8">
        <f>SUM(Posts[[#This Row],[Likes]:[Comments]])</f>
        <v>3122</v>
      </c>
    </row>
    <row r="16" spans="1:16" x14ac:dyDescent="0.25">
      <c r="A16" s="6" t="s">
        <v>72</v>
      </c>
      <c r="B16" s="6" t="s">
        <v>17</v>
      </c>
      <c r="C16" s="9">
        <v>45418</v>
      </c>
      <c r="D16" s="6" t="s">
        <v>48</v>
      </c>
      <c r="E16" s="6" t="s">
        <v>73</v>
      </c>
      <c r="F16" s="7">
        <v>3476</v>
      </c>
      <c r="G16" s="7">
        <v>355</v>
      </c>
      <c r="H16" s="7">
        <v>396</v>
      </c>
      <c r="I16" s="7">
        <v>37492</v>
      </c>
      <c r="J16" s="28">
        <f>(Posts[[#This Row],[Likes]]+Posts[[#This Row],[Shares]]+Posts[[#This Row],[Comments]])/Posts[[#This Row],[Impressions]]</f>
        <v>0.11274405206444041</v>
      </c>
      <c r="K16" s="7">
        <v>27285</v>
      </c>
      <c r="L16" s="7">
        <v>179</v>
      </c>
      <c r="M16" s="6" t="s">
        <v>18</v>
      </c>
      <c r="N16" s="6"/>
      <c r="O16" s="6" t="s">
        <v>19</v>
      </c>
      <c r="P16" s="8">
        <f>SUM(Posts[[#This Row],[Likes]:[Comments]])</f>
        <v>4227</v>
      </c>
    </row>
    <row r="17" spans="1:16" x14ac:dyDescent="0.25">
      <c r="A17" s="6" t="s">
        <v>74</v>
      </c>
      <c r="B17" s="6" t="s">
        <v>17</v>
      </c>
      <c r="C17" s="9">
        <v>45655</v>
      </c>
      <c r="D17" s="6" t="s">
        <v>53</v>
      </c>
      <c r="E17" s="6" t="s">
        <v>54</v>
      </c>
      <c r="F17" s="7">
        <v>4049</v>
      </c>
      <c r="G17" s="7">
        <v>377</v>
      </c>
      <c r="H17" s="7">
        <v>94</v>
      </c>
      <c r="I17" s="7">
        <v>48182</v>
      </c>
      <c r="J17" s="28">
        <f>(Posts[[#This Row],[Likes]]+Posts[[#This Row],[Shares]]+Posts[[#This Row],[Comments]])/Posts[[#This Row],[Impressions]]</f>
        <v>9.3810966751068869E-2</v>
      </c>
      <c r="K17" s="7">
        <v>42875</v>
      </c>
      <c r="L17" s="7">
        <v>172</v>
      </c>
      <c r="M17" s="6" t="s">
        <v>14</v>
      </c>
      <c r="N17" s="6" t="s">
        <v>18</v>
      </c>
      <c r="O17" s="6" t="s">
        <v>19</v>
      </c>
      <c r="P17" s="8">
        <f>SUM(Posts[[#This Row],[Likes]:[Comments]])</f>
        <v>4520</v>
      </c>
    </row>
    <row r="18" spans="1:16" x14ac:dyDescent="0.25">
      <c r="A18" s="6" t="s">
        <v>75</v>
      </c>
      <c r="B18" s="6" t="s">
        <v>17</v>
      </c>
      <c r="C18" s="9">
        <v>45453</v>
      </c>
      <c r="D18" s="6" t="s">
        <v>48</v>
      </c>
      <c r="E18" s="6" t="s">
        <v>60</v>
      </c>
      <c r="F18" s="7">
        <v>1514</v>
      </c>
      <c r="G18" s="7">
        <v>164</v>
      </c>
      <c r="H18" s="7">
        <v>275</v>
      </c>
      <c r="I18" s="7">
        <v>41364</v>
      </c>
      <c r="J18" s="28">
        <f>(Posts[[#This Row],[Likes]]+Posts[[#This Row],[Shares]]+Posts[[#This Row],[Comments]])/Posts[[#This Row],[Impressions]]</f>
        <v>4.7214969538729328E-2</v>
      </c>
      <c r="K18" s="7">
        <v>44389</v>
      </c>
      <c r="L18" s="7">
        <v>83</v>
      </c>
      <c r="M18" s="6" t="s">
        <v>18</v>
      </c>
      <c r="N18" s="6"/>
      <c r="O18" s="6" t="s">
        <v>19</v>
      </c>
      <c r="P18" s="8">
        <f>SUM(Posts[[#This Row],[Likes]:[Comments]])</f>
        <v>1953</v>
      </c>
    </row>
    <row r="19" spans="1:16" x14ac:dyDescent="0.25">
      <c r="A19" s="6" t="s">
        <v>76</v>
      </c>
      <c r="B19" s="6" t="s">
        <v>11</v>
      </c>
      <c r="C19" s="9">
        <v>45325</v>
      </c>
      <c r="D19" s="6" t="s">
        <v>53</v>
      </c>
      <c r="E19" s="6" t="s">
        <v>58</v>
      </c>
      <c r="F19" s="7">
        <v>4281</v>
      </c>
      <c r="G19" s="7">
        <v>101</v>
      </c>
      <c r="H19" s="7">
        <v>163</v>
      </c>
      <c r="I19" s="7">
        <v>32278</v>
      </c>
      <c r="J19" s="28">
        <f>(Posts[[#This Row],[Likes]]+Posts[[#This Row],[Shares]]+Posts[[#This Row],[Comments]])/Posts[[#This Row],[Impressions]]</f>
        <v>0.1408079806679472</v>
      </c>
      <c r="K19" s="7">
        <v>53382</v>
      </c>
      <c r="L19" s="7">
        <v>235</v>
      </c>
      <c r="M19" s="6" t="s">
        <v>18</v>
      </c>
      <c r="N19" s="6"/>
      <c r="O19" s="6" t="s">
        <v>15</v>
      </c>
      <c r="P19" s="8">
        <f>SUM(Posts[[#This Row],[Likes]:[Comments]])</f>
        <v>4545</v>
      </c>
    </row>
    <row r="20" spans="1:16" x14ac:dyDescent="0.25">
      <c r="A20" s="6" t="s">
        <v>77</v>
      </c>
      <c r="B20" s="6" t="s">
        <v>12</v>
      </c>
      <c r="C20" s="9">
        <v>45458</v>
      </c>
      <c r="D20" s="6" t="s">
        <v>78</v>
      </c>
      <c r="E20" s="6" t="s">
        <v>62</v>
      </c>
      <c r="F20" s="7">
        <v>1751</v>
      </c>
      <c r="G20" s="7">
        <v>143</v>
      </c>
      <c r="H20" s="7">
        <v>151</v>
      </c>
      <c r="I20" s="7">
        <v>31826</v>
      </c>
      <c r="J20" s="28">
        <f>(Posts[[#This Row],[Likes]]+Posts[[#This Row],[Shares]]+Posts[[#This Row],[Comments]])/Posts[[#This Row],[Impressions]]</f>
        <v>6.4255640042732362E-2</v>
      </c>
      <c r="K20" s="7">
        <v>47729</v>
      </c>
      <c r="L20" s="7">
        <v>95</v>
      </c>
      <c r="M20" s="6" t="s">
        <v>26</v>
      </c>
      <c r="N20" s="6" t="s">
        <v>22</v>
      </c>
      <c r="O20" s="6" t="s">
        <v>9</v>
      </c>
      <c r="P20" s="8">
        <f>SUM(Posts[[#This Row],[Likes]:[Comments]])</f>
        <v>2045</v>
      </c>
    </row>
    <row r="21" spans="1:16" x14ac:dyDescent="0.25">
      <c r="A21" s="6" t="s">
        <v>79</v>
      </c>
      <c r="B21" s="6" t="s">
        <v>11</v>
      </c>
      <c r="C21" s="9">
        <v>45478</v>
      </c>
      <c r="D21" s="6" t="s">
        <v>48</v>
      </c>
      <c r="E21" s="6" t="s">
        <v>73</v>
      </c>
      <c r="F21" s="7">
        <v>3753</v>
      </c>
      <c r="G21" s="7">
        <v>411</v>
      </c>
      <c r="H21" s="7">
        <v>308</v>
      </c>
      <c r="I21" s="7">
        <v>29138</v>
      </c>
      <c r="J21" s="28">
        <f>(Posts[[#This Row],[Likes]]+Posts[[#This Row],[Shares]]+Posts[[#This Row],[Comments]])/Posts[[#This Row],[Impressions]]</f>
        <v>0.15347655981879332</v>
      </c>
      <c r="K21" s="7">
        <v>27678</v>
      </c>
      <c r="L21" s="7">
        <v>90</v>
      </c>
      <c r="M21" s="6" t="s">
        <v>26</v>
      </c>
      <c r="N21" s="6"/>
      <c r="O21" s="6" t="s">
        <v>23</v>
      </c>
      <c r="P21" s="8">
        <f>SUM(Posts[[#This Row],[Likes]:[Comments]])</f>
        <v>4472</v>
      </c>
    </row>
    <row r="22" spans="1:16" x14ac:dyDescent="0.25">
      <c r="A22" s="6" t="s">
        <v>80</v>
      </c>
      <c r="B22" s="6" t="s">
        <v>11</v>
      </c>
      <c r="C22" s="9">
        <v>45603</v>
      </c>
      <c r="D22" s="6" t="s">
        <v>53</v>
      </c>
      <c r="E22" s="6" t="s">
        <v>56</v>
      </c>
      <c r="F22" s="7">
        <v>1678</v>
      </c>
      <c r="G22" s="7">
        <v>423</v>
      </c>
      <c r="H22" s="7">
        <v>323</v>
      </c>
      <c r="I22" s="7">
        <v>55668</v>
      </c>
      <c r="J22" s="28">
        <f>(Posts[[#This Row],[Likes]]+Posts[[#This Row],[Shares]]+Posts[[#This Row],[Comments]])/Posts[[#This Row],[Impressions]]</f>
        <v>4.3543867212761371E-2</v>
      </c>
      <c r="K22" s="7">
        <v>37945</v>
      </c>
      <c r="L22" s="7">
        <v>230</v>
      </c>
      <c r="M22" s="6" t="s">
        <v>18</v>
      </c>
      <c r="N22" s="6"/>
      <c r="O22" s="6" t="s">
        <v>15</v>
      </c>
      <c r="P22" s="8">
        <f>SUM(Posts[[#This Row],[Likes]:[Comments]])</f>
        <v>2424</v>
      </c>
    </row>
    <row r="23" spans="1:16" x14ac:dyDescent="0.25">
      <c r="A23" s="6" t="s">
        <v>81</v>
      </c>
      <c r="B23" s="6" t="s">
        <v>11</v>
      </c>
      <c r="C23" s="9">
        <v>45823</v>
      </c>
      <c r="D23" s="6" t="s">
        <v>48</v>
      </c>
      <c r="E23" s="6" t="s">
        <v>60</v>
      </c>
      <c r="F23" s="7">
        <v>4896</v>
      </c>
      <c r="G23" s="7">
        <v>466</v>
      </c>
      <c r="H23" s="7">
        <v>233</v>
      </c>
      <c r="I23" s="7">
        <v>28621</v>
      </c>
      <c r="J23" s="28">
        <f>(Posts[[#This Row],[Likes]]+Posts[[#This Row],[Shares]]+Posts[[#This Row],[Comments]])/Posts[[#This Row],[Impressions]]</f>
        <v>0.19548583208133888</v>
      </c>
      <c r="K23" s="7">
        <v>34270</v>
      </c>
      <c r="L23" s="7">
        <v>84</v>
      </c>
      <c r="M23" s="6" t="s">
        <v>22</v>
      </c>
      <c r="N23" s="6" t="s">
        <v>18</v>
      </c>
      <c r="O23" s="6" t="s">
        <v>19</v>
      </c>
      <c r="P23" s="8">
        <f>SUM(Posts[[#This Row],[Likes]:[Comments]])</f>
        <v>5595</v>
      </c>
    </row>
    <row r="24" spans="1:16" x14ac:dyDescent="0.25">
      <c r="A24" s="6" t="s">
        <v>82</v>
      </c>
      <c r="B24" s="6" t="s">
        <v>12</v>
      </c>
      <c r="C24" s="9">
        <v>45452</v>
      </c>
      <c r="D24" s="6" t="s">
        <v>78</v>
      </c>
      <c r="E24" s="6" t="s">
        <v>71</v>
      </c>
      <c r="F24" s="7">
        <v>2786</v>
      </c>
      <c r="G24" s="7">
        <v>368</v>
      </c>
      <c r="H24" s="7">
        <v>208</v>
      </c>
      <c r="I24" s="7">
        <v>42000</v>
      </c>
      <c r="J24" s="28">
        <f>(Posts[[#This Row],[Likes]]+Posts[[#This Row],[Shares]]+Posts[[#This Row],[Comments]])/Posts[[#This Row],[Impressions]]</f>
        <v>8.0047619047619048E-2</v>
      </c>
      <c r="K24" s="7">
        <v>39967</v>
      </c>
      <c r="L24" s="7">
        <v>103</v>
      </c>
      <c r="M24" s="6" t="s">
        <v>26</v>
      </c>
      <c r="N24" s="6" t="s">
        <v>22</v>
      </c>
      <c r="O24" s="6" t="s">
        <v>9</v>
      </c>
      <c r="P24" s="8">
        <f>SUM(Posts[[#This Row],[Likes]:[Comments]])</f>
        <v>3362</v>
      </c>
    </row>
    <row r="25" spans="1:16" x14ac:dyDescent="0.25">
      <c r="A25" s="6" t="s">
        <v>83</v>
      </c>
      <c r="B25" s="6" t="s">
        <v>17</v>
      </c>
      <c r="C25" s="9">
        <v>45583</v>
      </c>
      <c r="D25" s="6" t="s">
        <v>48</v>
      </c>
      <c r="E25" s="6" t="s">
        <v>54</v>
      </c>
      <c r="F25" s="7">
        <v>2607</v>
      </c>
      <c r="G25" s="7">
        <v>379</v>
      </c>
      <c r="H25" s="7">
        <v>180</v>
      </c>
      <c r="I25" s="7">
        <v>28712</v>
      </c>
      <c r="J25" s="28">
        <f>(Posts[[#This Row],[Likes]]+Posts[[#This Row],[Shares]]+Posts[[#This Row],[Comments]])/Posts[[#This Row],[Impressions]]</f>
        <v>0.11026748397882419</v>
      </c>
      <c r="K25" s="7">
        <v>61620</v>
      </c>
      <c r="L25" s="7">
        <v>174</v>
      </c>
      <c r="M25" s="6" t="s">
        <v>22</v>
      </c>
      <c r="N25" s="6"/>
      <c r="O25" s="6" t="s">
        <v>23</v>
      </c>
      <c r="P25" s="8">
        <f>SUM(Posts[[#This Row],[Likes]:[Comments]])</f>
        <v>3166</v>
      </c>
    </row>
    <row r="26" spans="1:16" x14ac:dyDescent="0.25">
      <c r="A26" s="6" t="s">
        <v>84</v>
      </c>
      <c r="B26" s="6" t="s">
        <v>12</v>
      </c>
      <c r="C26" s="9">
        <v>45575</v>
      </c>
      <c r="D26" s="6" t="s">
        <v>78</v>
      </c>
      <c r="E26" s="6" t="s">
        <v>71</v>
      </c>
      <c r="F26" s="7">
        <v>4013</v>
      </c>
      <c r="G26" s="7">
        <v>320</v>
      </c>
      <c r="H26" s="7">
        <v>92</v>
      </c>
      <c r="I26" s="7">
        <v>54605</v>
      </c>
      <c r="J26" s="28">
        <f>(Posts[[#This Row],[Likes]]+Posts[[#This Row],[Shares]]+Posts[[#This Row],[Comments]])/Posts[[#This Row],[Impressions]]</f>
        <v>8.1036535115831879E-2</v>
      </c>
      <c r="K26" s="7">
        <v>60169</v>
      </c>
      <c r="L26" s="7">
        <v>232</v>
      </c>
      <c r="M26" s="6" t="s">
        <v>26</v>
      </c>
      <c r="N26" s="6" t="s">
        <v>22</v>
      </c>
      <c r="O26" s="6" t="s">
        <v>9</v>
      </c>
      <c r="P26" s="8">
        <f>SUM(Posts[[#This Row],[Likes]:[Comments]])</f>
        <v>4425</v>
      </c>
    </row>
    <row r="27" spans="1:16" x14ac:dyDescent="0.25">
      <c r="A27" s="6" t="s">
        <v>85</v>
      </c>
      <c r="B27" s="6" t="s">
        <v>17</v>
      </c>
      <c r="C27" s="9">
        <v>45791</v>
      </c>
      <c r="D27" s="6" t="s">
        <v>53</v>
      </c>
      <c r="E27" s="6" t="s">
        <v>71</v>
      </c>
      <c r="F27" s="7">
        <v>2707</v>
      </c>
      <c r="G27" s="7">
        <v>103</v>
      </c>
      <c r="H27" s="7">
        <v>51</v>
      </c>
      <c r="I27" s="7">
        <v>55302</v>
      </c>
      <c r="J27" s="28">
        <f>(Posts[[#This Row],[Likes]]+Posts[[#This Row],[Shares]]+Posts[[#This Row],[Comments]])/Posts[[#This Row],[Impressions]]</f>
        <v>5.173411449857148E-2</v>
      </c>
      <c r="K27" s="7">
        <v>18801</v>
      </c>
      <c r="L27" s="7">
        <v>147</v>
      </c>
      <c r="M27" s="6" t="s">
        <v>26</v>
      </c>
      <c r="N27" s="6" t="s">
        <v>14</v>
      </c>
      <c r="O27" s="6" t="s">
        <v>19</v>
      </c>
      <c r="P27" s="8">
        <f>SUM(Posts[[#This Row],[Likes]:[Comments]])</f>
        <v>2861</v>
      </c>
    </row>
    <row r="28" spans="1:16" x14ac:dyDescent="0.25">
      <c r="A28" s="6" t="s">
        <v>86</v>
      </c>
      <c r="B28" s="6" t="s">
        <v>11</v>
      </c>
      <c r="C28" s="9">
        <v>45625</v>
      </c>
      <c r="D28" s="6" t="s">
        <v>48</v>
      </c>
      <c r="E28" s="6" t="s">
        <v>60</v>
      </c>
      <c r="F28" s="7">
        <v>2824</v>
      </c>
      <c r="G28" s="7">
        <v>425</v>
      </c>
      <c r="H28" s="7">
        <v>274</v>
      </c>
      <c r="I28" s="7">
        <v>31004</v>
      </c>
      <c r="J28" s="28">
        <f>(Posts[[#This Row],[Likes]]+Posts[[#This Row],[Shares]]+Posts[[#This Row],[Comments]])/Posts[[#This Row],[Impressions]]</f>
        <v>0.11363049929041415</v>
      </c>
      <c r="K28" s="7">
        <v>53488</v>
      </c>
      <c r="L28" s="7">
        <v>268</v>
      </c>
      <c r="M28" s="6" t="s">
        <v>22</v>
      </c>
      <c r="N28" s="6" t="s">
        <v>18</v>
      </c>
      <c r="O28" s="6" t="s">
        <v>19</v>
      </c>
      <c r="P28" s="8">
        <f>SUM(Posts[[#This Row],[Likes]:[Comments]])</f>
        <v>3523</v>
      </c>
    </row>
    <row r="29" spans="1:16" x14ac:dyDescent="0.25">
      <c r="A29" s="6" t="s">
        <v>87</v>
      </c>
      <c r="B29" s="6" t="s">
        <v>12</v>
      </c>
      <c r="C29" s="9">
        <v>45356</v>
      </c>
      <c r="D29" s="6" t="s">
        <v>78</v>
      </c>
      <c r="E29" s="6" t="s">
        <v>51</v>
      </c>
      <c r="F29" s="7">
        <v>3558</v>
      </c>
      <c r="G29" s="7">
        <v>314</v>
      </c>
      <c r="H29" s="7">
        <v>199</v>
      </c>
      <c r="I29" s="7">
        <v>49612</v>
      </c>
      <c r="J29" s="28">
        <f>(Posts[[#This Row],[Likes]]+Posts[[#This Row],[Shares]]+Posts[[#This Row],[Comments]])/Posts[[#This Row],[Impressions]]</f>
        <v>8.205676046117874E-2</v>
      </c>
      <c r="K29" s="7">
        <v>53929</v>
      </c>
      <c r="L29" s="7">
        <v>206</v>
      </c>
      <c r="M29" s="6" t="s">
        <v>26</v>
      </c>
      <c r="N29" s="6" t="s">
        <v>22</v>
      </c>
      <c r="O29" s="6" t="s">
        <v>9</v>
      </c>
      <c r="P29" s="8">
        <f>SUM(Posts[[#This Row],[Likes]:[Comments]])</f>
        <v>4071</v>
      </c>
    </row>
    <row r="30" spans="1:16" x14ac:dyDescent="0.25">
      <c r="A30" s="6" t="s">
        <v>88</v>
      </c>
      <c r="B30" s="6" t="s">
        <v>17</v>
      </c>
      <c r="C30" s="9">
        <v>45734</v>
      </c>
      <c r="D30" s="6" t="s">
        <v>53</v>
      </c>
      <c r="E30" s="6" t="s">
        <v>51</v>
      </c>
      <c r="F30" s="7">
        <v>3418</v>
      </c>
      <c r="G30" s="7">
        <v>188</v>
      </c>
      <c r="H30" s="7">
        <v>387</v>
      </c>
      <c r="I30" s="7">
        <v>57431</v>
      </c>
      <c r="J30" s="28">
        <f>(Posts[[#This Row],[Likes]]+Posts[[#This Row],[Shares]]+Posts[[#This Row],[Comments]])/Posts[[#This Row],[Impressions]]</f>
        <v>6.9526910553533799E-2</v>
      </c>
      <c r="K30" s="7">
        <v>36933</v>
      </c>
      <c r="L30" s="7">
        <v>202</v>
      </c>
      <c r="M30" s="6" t="s">
        <v>14</v>
      </c>
      <c r="N30" s="6" t="s">
        <v>18</v>
      </c>
      <c r="O30" s="6" t="s">
        <v>19</v>
      </c>
      <c r="P30" s="8">
        <f>SUM(Posts[[#This Row],[Likes]:[Comments]])</f>
        <v>3993</v>
      </c>
    </row>
    <row r="31" spans="1:16" x14ac:dyDescent="0.25">
      <c r="A31" s="6" t="s">
        <v>89</v>
      </c>
      <c r="B31" s="6" t="s">
        <v>17</v>
      </c>
      <c r="C31" s="9">
        <v>45773</v>
      </c>
      <c r="D31" s="6" t="s">
        <v>48</v>
      </c>
      <c r="E31" s="6" t="s">
        <v>49</v>
      </c>
      <c r="F31" s="7">
        <v>2411</v>
      </c>
      <c r="G31" s="7">
        <v>194</v>
      </c>
      <c r="H31" s="7">
        <v>168</v>
      </c>
      <c r="I31" s="7">
        <v>26665</v>
      </c>
      <c r="J31" s="28">
        <f>(Posts[[#This Row],[Likes]]+Posts[[#This Row],[Shares]]+Posts[[#This Row],[Comments]])/Posts[[#This Row],[Impressions]]</f>
        <v>0.10399399962497656</v>
      </c>
      <c r="K31" s="7">
        <v>71699</v>
      </c>
      <c r="L31" s="7">
        <v>197</v>
      </c>
      <c r="M31" s="6" t="s">
        <v>18</v>
      </c>
      <c r="N31" s="6"/>
      <c r="O31" s="6" t="s">
        <v>19</v>
      </c>
      <c r="P31" s="8">
        <f>SUM(Posts[[#This Row],[Likes]:[Comments]])</f>
        <v>2773</v>
      </c>
    </row>
    <row r="32" spans="1:16" x14ac:dyDescent="0.25">
      <c r="A32" s="6" t="s">
        <v>90</v>
      </c>
      <c r="B32" s="6" t="s">
        <v>11</v>
      </c>
      <c r="C32" s="9">
        <v>45658</v>
      </c>
      <c r="D32" s="6" t="s">
        <v>48</v>
      </c>
      <c r="E32" s="6" t="s">
        <v>54</v>
      </c>
      <c r="F32" s="7">
        <v>4036</v>
      </c>
      <c r="G32" s="7">
        <v>112</v>
      </c>
      <c r="H32" s="7">
        <v>382</v>
      </c>
      <c r="I32" s="7">
        <v>56284</v>
      </c>
      <c r="J32" s="28">
        <f>(Posts[[#This Row],[Likes]]+Posts[[#This Row],[Shares]]+Posts[[#This Row],[Comments]])/Posts[[#This Row],[Impressions]]</f>
        <v>8.0484684812735408E-2</v>
      </c>
      <c r="K32" s="7">
        <v>29440</v>
      </c>
      <c r="L32" s="7">
        <v>279</v>
      </c>
      <c r="M32" s="6" t="s">
        <v>22</v>
      </c>
      <c r="N32" s="6" t="s">
        <v>18</v>
      </c>
      <c r="O32" s="6" t="s">
        <v>19</v>
      </c>
      <c r="P32" s="8">
        <f>SUM(Posts[[#This Row],[Likes]:[Comments]])</f>
        <v>4530</v>
      </c>
    </row>
    <row r="33" spans="1:16" x14ac:dyDescent="0.25">
      <c r="A33" s="6" t="s">
        <v>91</v>
      </c>
      <c r="B33" s="6" t="s">
        <v>17</v>
      </c>
      <c r="C33" s="9">
        <v>45419</v>
      </c>
      <c r="D33" s="6" t="s">
        <v>53</v>
      </c>
      <c r="E33" s="6" t="s">
        <v>51</v>
      </c>
      <c r="F33" s="7">
        <v>2776</v>
      </c>
      <c r="G33" s="7">
        <v>307</v>
      </c>
      <c r="H33" s="7">
        <v>178</v>
      </c>
      <c r="I33" s="7">
        <v>43365</v>
      </c>
      <c r="J33" s="28">
        <f>(Posts[[#This Row],[Likes]]+Posts[[#This Row],[Shares]]+Posts[[#This Row],[Comments]])/Posts[[#This Row],[Impressions]]</f>
        <v>7.519889311656866E-2</v>
      </c>
      <c r="K33" s="7">
        <v>48408</v>
      </c>
      <c r="L33" s="7">
        <v>138</v>
      </c>
      <c r="M33" s="6" t="s">
        <v>22</v>
      </c>
      <c r="N33" s="6" t="s">
        <v>18</v>
      </c>
      <c r="O33" s="6" t="s">
        <v>19</v>
      </c>
      <c r="P33" s="8">
        <f>SUM(Posts[[#This Row],[Likes]:[Comments]])</f>
        <v>3261</v>
      </c>
    </row>
    <row r="34" spans="1:16" x14ac:dyDescent="0.25">
      <c r="A34" s="6" t="s">
        <v>92</v>
      </c>
      <c r="B34" s="6" t="s">
        <v>17</v>
      </c>
      <c r="C34" s="9">
        <v>45574</v>
      </c>
      <c r="D34" s="6" t="s">
        <v>53</v>
      </c>
      <c r="E34" s="6" t="s">
        <v>49</v>
      </c>
      <c r="F34" s="7">
        <v>4929</v>
      </c>
      <c r="G34" s="7">
        <v>182</v>
      </c>
      <c r="H34" s="7">
        <v>95</v>
      </c>
      <c r="I34" s="7">
        <v>32181</v>
      </c>
      <c r="J34" s="28">
        <f>(Posts[[#This Row],[Likes]]+Posts[[#This Row],[Shares]]+Posts[[#This Row],[Comments]])/Posts[[#This Row],[Impressions]]</f>
        <v>0.16177247444144061</v>
      </c>
      <c r="K34" s="7">
        <v>31084</v>
      </c>
      <c r="L34" s="7">
        <v>289</v>
      </c>
      <c r="M34" s="6" t="s">
        <v>26</v>
      </c>
      <c r="N34" s="6" t="s">
        <v>14</v>
      </c>
      <c r="O34" s="6" t="s">
        <v>19</v>
      </c>
      <c r="P34" s="8">
        <f>SUM(Posts[[#This Row],[Likes]:[Comments]])</f>
        <v>5206</v>
      </c>
    </row>
    <row r="35" spans="1:16" x14ac:dyDescent="0.25">
      <c r="A35" s="6" t="s">
        <v>93</v>
      </c>
      <c r="B35" s="6" t="s">
        <v>11</v>
      </c>
      <c r="C35" s="9">
        <v>45666</v>
      </c>
      <c r="D35" s="6" t="s">
        <v>48</v>
      </c>
      <c r="E35" s="6" t="s">
        <v>54</v>
      </c>
      <c r="F35" s="7">
        <v>1015</v>
      </c>
      <c r="G35" s="7">
        <v>366</v>
      </c>
      <c r="H35" s="7">
        <v>308</v>
      </c>
      <c r="I35" s="7">
        <v>38127</v>
      </c>
      <c r="J35" s="28">
        <f>(Posts[[#This Row],[Likes]]+Posts[[#This Row],[Shares]]+Posts[[#This Row],[Comments]])/Posts[[#This Row],[Impressions]]</f>
        <v>4.4299315445747112E-2</v>
      </c>
      <c r="K35" s="7">
        <v>63790</v>
      </c>
      <c r="L35" s="7">
        <v>287</v>
      </c>
      <c r="M35" s="6" t="s">
        <v>22</v>
      </c>
      <c r="N35" s="6" t="s">
        <v>18</v>
      </c>
      <c r="O35" s="6" t="s">
        <v>19</v>
      </c>
      <c r="P35" s="8">
        <f>SUM(Posts[[#This Row],[Likes]:[Comments]])</f>
        <v>1689</v>
      </c>
    </row>
    <row r="36" spans="1:16" x14ac:dyDescent="0.25">
      <c r="A36" s="6" t="s">
        <v>94</v>
      </c>
      <c r="B36" s="6" t="s">
        <v>17</v>
      </c>
      <c r="C36" s="9">
        <v>45785</v>
      </c>
      <c r="D36" s="6" t="s">
        <v>53</v>
      </c>
      <c r="E36" s="6" t="s">
        <v>73</v>
      </c>
      <c r="F36" s="7">
        <v>3316</v>
      </c>
      <c r="G36" s="7">
        <v>332</v>
      </c>
      <c r="H36" s="7">
        <v>268</v>
      </c>
      <c r="I36" s="7">
        <v>40095</v>
      </c>
      <c r="J36" s="28">
        <f>(Posts[[#This Row],[Likes]]+Posts[[#This Row],[Shares]]+Posts[[#This Row],[Comments]])/Posts[[#This Row],[Impressions]]</f>
        <v>9.7668038408779148E-2</v>
      </c>
      <c r="K36" s="7">
        <v>36913</v>
      </c>
      <c r="L36" s="7">
        <v>265</v>
      </c>
      <c r="M36" s="6" t="s">
        <v>14</v>
      </c>
      <c r="N36" s="6" t="s">
        <v>18</v>
      </c>
      <c r="O36" s="6" t="s">
        <v>19</v>
      </c>
      <c r="P36" s="8">
        <f>SUM(Posts[[#This Row],[Likes]:[Comments]])</f>
        <v>3916</v>
      </c>
    </row>
    <row r="37" spans="1:16" x14ac:dyDescent="0.25">
      <c r="A37" s="6" t="s">
        <v>95</v>
      </c>
      <c r="B37" s="6" t="s">
        <v>11</v>
      </c>
      <c r="C37" s="9">
        <v>45416</v>
      </c>
      <c r="D37" s="6" t="s">
        <v>48</v>
      </c>
      <c r="E37" s="6" t="s">
        <v>56</v>
      </c>
      <c r="F37" s="7">
        <v>2274</v>
      </c>
      <c r="G37" s="7">
        <v>243</v>
      </c>
      <c r="H37" s="7">
        <v>222</v>
      </c>
      <c r="I37" s="7">
        <v>43066</v>
      </c>
      <c r="J37" s="28">
        <f>(Posts[[#This Row],[Likes]]+Posts[[#This Row],[Shares]]+Posts[[#This Row],[Comments]])/Posts[[#This Row],[Impressions]]</f>
        <v>6.3600055728416843E-2</v>
      </c>
      <c r="K37" s="7">
        <v>59174</v>
      </c>
      <c r="L37" s="7">
        <v>80</v>
      </c>
      <c r="M37" s="6" t="s">
        <v>26</v>
      </c>
      <c r="N37" s="6"/>
      <c r="O37" s="6" t="s">
        <v>23</v>
      </c>
      <c r="P37" s="8">
        <f>SUM(Posts[[#This Row],[Likes]:[Comments]])</f>
        <v>2739</v>
      </c>
    </row>
    <row r="38" spans="1:16" x14ac:dyDescent="0.25">
      <c r="A38" s="6" t="s">
        <v>96</v>
      </c>
      <c r="B38" s="6" t="s">
        <v>17</v>
      </c>
      <c r="C38" s="9">
        <v>45804</v>
      </c>
      <c r="D38" s="6" t="s">
        <v>53</v>
      </c>
      <c r="E38" s="6" t="s">
        <v>51</v>
      </c>
      <c r="F38" s="7">
        <v>4095</v>
      </c>
      <c r="G38" s="7">
        <v>385</v>
      </c>
      <c r="H38" s="7">
        <v>400</v>
      </c>
      <c r="I38" s="7">
        <v>45300</v>
      </c>
      <c r="J38" s="28">
        <f>(Posts[[#This Row],[Likes]]+Posts[[#This Row],[Shares]]+Posts[[#This Row],[Comments]])/Posts[[#This Row],[Impressions]]</f>
        <v>0.10772626931567329</v>
      </c>
      <c r="K38" s="7">
        <v>31795</v>
      </c>
      <c r="L38" s="7">
        <v>80</v>
      </c>
      <c r="M38" s="6" t="s">
        <v>14</v>
      </c>
      <c r="N38" s="6" t="s">
        <v>18</v>
      </c>
      <c r="O38" s="6" t="s">
        <v>19</v>
      </c>
      <c r="P38" s="8">
        <f>SUM(Posts[[#This Row],[Likes]:[Comments]])</f>
        <v>4880</v>
      </c>
    </row>
    <row r="39" spans="1:16" x14ac:dyDescent="0.25">
      <c r="A39" s="6" t="s">
        <v>97</v>
      </c>
      <c r="B39" s="6" t="s">
        <v>11</v>
      </c>
      <c r="C39" s="9">
        <v>45545</v>
      </c>
      <c r="D39" s="6" t="s">
        <v>53</v>
      </c>
      <c r="E39" s="6" t="s">
        <v>54</v>
      </c>
      <c r="F39" s="7">
        <v>1230</v>
      </c>
      <c r="G39" s="7">
        <v>309</v>
      </c>
      <c r="H39" s="7">
        <v>207</v>
      </c>
      <c r="I39" s="7">
        <v>44629</v>
      </c>
      <c r="J39" s="28">
        <f>(Posts[[#This Row],[Likes]]+Posts[[#This Row],[Shares]]+Posts[[#This Row],[Comments]])/Posts[[#This Row],[Impressions]]</f>
        <v>3.9122543637545096E-2</v>
      </c>
      <c r="K39" s="7">
        <v>40699</v>
      </c>
      <c r="L39" s="7">
        <v>195</v>
      </c>
      <c r="M39" s="6" t="s">
        <v>18</v>
      </c>
      <c r="N39" s="6"/>
      <c r="O39" s="6" t="s">
        <v>15</v>
      </c>
      <c r="P39" s="8">
        <f>SUM(Posts[[#This Row],[Likes]:[Comments]])</f>
        <v>1746</v>
      </c>
    </row>
    <row r="40" spans="1:16" x14ac:dyDescent="0.25">
      <c r="A40" s="6" t="s">
        <v>98</v>
      </c>
      <c r="B40" s="6" t="s">
        <v>11</v>
      </c>
      <c r="C40" s="9">
        <v>45621</v>
      </c>
      <c r="D40" s="6" t="s">
        <v>48</v>
      </c>
      <c r="E40" s="6" t="s">
        <v>71</v>
      </c>
      <c r="F40" s="7">
        <v>1341</v>
      </c>
      <c r="G40" s="7">
        <v>472</v>
      </c>
      <c r="H40" s="7">
        <v>238</v>
      </c>
      <c r="I40" s="7">
        <v>51386</v>
      </c>
      <c r="J40" s="28">
        <f>(Posts[[#This Row],[Likes]]+Posts[[#This Row],[Shares]]+Posts[[#This Row],[Comments]])/Posts[[#This Row],[Impressions]]</f>
        <v>3.9913595142645857E-2</v>
      </c>
      <c r="K40" s="7">
        <v>51706</v>
      </c>
      <c r="L40" s="7">
        <v>133</v>
      </c>
      <c r="M40" s="6" t="s">
        <v>26</v>
      </c>
      <c r="N40" s="6"/>
      <c r="O40" s="6" t="s">
        <v>23</v>
      </c>
      <c r="P40" s="8">
        <f>SUM(Posts[[#This Row],[Likes]:[Comments]])</f>
        <v>2051</v>
      </c>
    </row>
    <row r="41" spans="1:16" x14ac:dyDescent="0.25">
      <c r="A41" s="6" t="s">
        <v>99</v>
      </c>
      <c r="B41" s="6" t="s">
        <v>17</v>
      </c>
      <c r="C41" s="9">
        <v>45818</v>
      </c>
      <c r="D41" s="6" t="s">
        <v>48</v>
      </c>
      <c r="E41" s="6" t="s">
        <v>51</v>
      </c>
      <c r="F41" s="7">
        <v>3615</v>
      </c>
      <c r="G41" s="7">
        <v>192</v>
      </c>
      <c r="H41" s="7">
        <v>162</v>
      </c>
      <c r="I41" s="7">
        <v>27492</v>
      </c>
      <c r="J41" s="28">
        <f>(Posts[[#This Row],[Likes]]+Posts[[#This Row],[Shares]]+Posts[[#This Row],[Comments]])/Posts[[#This Row],[Impressions]]</f>
        <v>0.14436927106067218</v>
      </c>
      <c r="K41" s="7">
        <v>35341</v>
      </c>
      <c r="L41" s="7">
        <v>125</v>
      </c>
      <c r="M41" s="6" t="s">
        <v>18</v>
      </c>
      <c r="N41" s="6"/>
      <c r="O41" s="6" t="s">
        <v>19</v>
      </c>
      <c r="P41" s="8">
        <f>SUM(Posts[[#This Row],[Likes]:[Comments]])</f>
        <v>3969</v>
      </c>
    </row>
    <row r="42" spans="1:16" x14ac:dyDescent="0.25">
      <c r="A42" s="6" t="s">
        <v>100</v>
      </c>
      <c r="B42" s="6" t="s">
        <v>11</v>
      </c>
      <c r="C42" s="9">
        <v>45401</v>
      </c>
      <c r="D42" s="6" t="s">
        <v>48</v>
      </c>
      <c r="E42" s="6" t="s">
        <v>54</v>
      </c>
      <c r="F42" s="7">
        <v>4001</v>
      </c>
      <c r="G42" s="7">
        <v>353</v>
      </c>
      <c r="H42" s="7">
        <v>129</v>
      </c>
      <c r="I42" s="7">
        <v>41265</v>
      </c>
      <c r="J42" s="28">
        <f>(Posts[[#This Row],[Likes]]+Posts[[#This Row],[Shares]]+Posts[[#This Row],[Comments]])/Posts[[#This Row],[Impressions]]</f>
        <v>0.10863928268508422</v>
      </c>
      <c r="K42" s="7">
        <v>37279</v>
      </c>
      <c r="L42" s="7">
        <v>275</v>
      </c>
      <c r="M42" s="6" t="s">
        <v>22</v>
      </c>
      <c r="N42" s="6" t="s">
        <v>18</v>
      </c>
      <c r="O42" s="6" t="s">
        <v>19</v>
      </c>
      <c r="P42" s="8">
        <f>SUM(Posts[[#This Row],[Likes]:[Comments]])</f>
        <v>4483</v>
      </c>
    </row>
    <row r="43" spans="1:16" x14ac:dyDescent="0.25">
      <c r="A43" s="6" t="s">
        <v>101</v>
      </c>
      <c r="B43" s="6" t="s">
        <v>11</v>
      </c>
      <c r="C43" s="9">
        <v>45683</v>
      </c>
      <c r="D43" s="6" t="s">
        <v>53</v>
      </c>
      <c r="E43" s="6" t="s">
        <v>60</v>
      </c>
      <c r="F43" s="7">
        <v>3451</v>
      </c>
      <c r="G43" s="7">
        <v>363</v>
      </c>
      <c r="H43" s="7">
        <v>393</v>
      </c>
      <c r="I43" s="7">
        <v>44853</v>
      </c>
      <c r="J43" s="28">
        <f>(Posts[[#This Row],[Likes]]+Posts[[#This Row],[Shares]]+Posts[[#This Row],[Comments]])/Posts[[#This Row],[Impressions]]</f>
        <v>9.379528682585335E-2</v>
      </c>
      <c r="K43" s="7">
        <v>69032</v>
      </c>
      <c r="L43" s="7">
        <v>211</v>
      </c>
      <c r="M43" s="6" t="s">
        <v>18</v>
      </c>
      <c r="N43" s="6"/>
      <c r="O43" s="6" t="s">
        <v>15</v>
      </c>
      <c r="P43" s="8">
        <f>SUM(Posts[[#This Row],[Likes]:[Comments]])</f>
        <v>4207</v>
      </c>
    </row>
    <row r="44" spans="1:16" x14ac:dyDescent="0.25">
      <c r="A44" s="6" t="s">
        <v>102</v>
      </c>
      <c r="B44" s="6" t="s">
        <v>11</v>
      </c>
      <c r="C44" s="9">
        <v>45702</v>
      </c>
      <c r="D44" s="6" t="s">
        <v>48</v>
      </c>
      <c r="E44" s="6" t="s">
        <v>65</v>
      </c>
      <c r="F44" s="7">
        <v>4891</v>
      </c>
      <c r="G44" s="7">
        <v>450</v>
      </c>
      <c r="H44" s="7">
        <v>387</v>
      </c>
      <c r="I44" s="7">
        <v>48746</v>
      </c>
      <c r="J44" s="28">
        <f>(Posts[[#This Row],[Likes]]+Posts[[#This Row],[Shares]]+Posts[[#This Row],[Comments]])/Posts[[#This Row],[Impressions]]</f>
        <v>0.11750707750379519</v>
      </c>
      <c r="K44" s="7">
        <v>37312</v>
      </c>
      <c r="L44" s="7">
        <v>154</v>
      </c>
      <c r="M44" s="6" t="s">
        <v>22</v>
      </c>
      <c r="N44" s="6" t="s">
        <v>18</v>
      </c>
      <c r="O44" s="6" t="s">
        <v>19</v>
      </c>
      <c r="P44" s="8">
        <f>SUM(Posts[[#This Row],[Likes]:[Comments]])</f>
        <v>5728</v>
      </c>
    </row>
    <row r="45" spans="1:16" x14ac:dyDescent="0.25">
      <c r="A45" s="6" t="s">
        <v>103</v>
      </c>
      <c r="B45" s="6" t="s">
        <v>11</v>
      </c>
      <c r="C45" s="9">
        <v>45541</v>
      </c>
      <c r="D45" s="6" t="s">
        <v>48</v>
      </c>
      <c r="E45" s="6" t="s">
        <v>54</v>
      </c>
      <c r="F45" s="7">
        <v>1452</v>
      </c>
      <c r="G45" s="7">
        <v>281</v>
      </c>
      <c r="H45" s="7">
        <v>326</v>
      </c>
      <c r="I45" s="7">
        <v>51556</v>
      </c>
      <c r="J45" s="28">
        <f>(Posts[[#This Row],[Likes]]+Posts[[#This Row],[Shares]]+Posts[[#This Row],[Comments]])/Posts[[#This Row],[Impressions]]</f>
        <v>3.9937155714174881E-2</v>
      </c>
      <c r="K45" s="7">
        <v>62599</v>
      </c>
      <c r="L45" s="7">
        <v>290</v>
      </c>
      <c r="M45" s="6" t="s">
        <v>26</v>
      </c>
      <c r="N45" s="6"/>
      <c r="O45" s="6" t="s">
        <v>23</v>
      </c>
      <c r="P45" s="8">
        <f>SUM(Posts[[#This Row],[Likes]:[Comments]])</f>
        <v>2059</v>
      </c>
    </row>
    <row r="46" spans="1:16" x14ac:dyDescent="0.25">
      <c r="A46" s="6" t="s">
        <v>104</v>
      </c>
      <c r="B46" s="6" t="s">
        <v>12</v>
      </c>
      <c r="C46" s="9">
        <v>45487</v>
      </c>
      <c r="D46" s="6" t="s">
        <v>48</v>
      </c>
      <c r="E46" s="6" t="s">
        <v>73</v>
      </c>
      <c r="F46" s="7">
        <v>3806</v>
      </c>
      <c r="G46" s="7">
        <v>114</v>
      </c>
      <c r="H46" s="7">
        <v>278</v>
      </c>
      <c r="I46" s="7">
        <v>36148</v>
      </c>
      <c r="J46" s="28">
        <f>(Posts[[#This Row],[Likes]]+Posts[[#This Row],[Shares]]+Posts[[#This Row],[Comments]])/Posts[[#This Row],[Impressions]]</f>
        <v>0.11613367267898639</v>
      </c>
      <c r="K46" s="7">
        <v>24209</v>
      </c>
      <c r="L46" s="7">
        <v>201</v>
      </c>
      <c r="M46" s="6" t="s">
        <v>26</v>
      </c>
      <c r="N46" s="6" t="s">
        <v>13</v>
      </c>
      <c r="O46" s="6" t="s">
        <v>23</v>
      </c>
      <c r="P46" s="8">
        <f>SUM(Posts[[#This Row],[Likes]:[Comments]])</f>
        <v>4198</v>
      </c>
    </row>
    <row r="47" spans="1:16" x14ac:dyDescent="0.25">
      <c r="A47" s="6" t="s">
        <v>105</v>
      </c>
      <c r="B47" s="6" t="s">
        <v>11</v>
      </c>
      <c r="C47" s="9">
        <v>45334</v>
      </c>
      <c r="D47" s="6" t="s">
        <v>48</v>
      </c>
      <c r="E47" s="6" t="s">
        <v>51</v>
      </c>
      <c r="F47" s="7">
        <v>2923</v>
      </c>
      <c r="G47" s="7">
        <v>330</v>
      </c>
      <c r="H47" s="7">
        <v>250</v>
      </c>
      <c r="I47" s="7">
        <v>23993</v>
      </c>
      <c r="J47" s="28">
        <f>(Posts[[#This Row],[Likes]]+Posts[[#This Row],[Shares]]+Posts[[#This Row],[Comments]])/Posts[[#This Row],[Impressions]]</f>
        <v>0.14600091693410577</v>
      </c>
      <c r="K47" s="7">
        <v>74590</v>
      </c>
      <c r="L47" s="7">
        <v>92</v>
      </c>
      <c r="M47" s="6" t="s">
        <v>26</v>
      </c>
      <c r="N47" s="6"/>
      <c r="O47" s="6" t="s">
        <v>23</v>
      </c>
      <c r="P47" s="8">
        <f>SUM(Posts[[#This Row],[Likes]:[Comments]])</f>
        <v>3503</v>
      </c>
    </row>
    <row r="48" spans="1:16" x14ac:dyDescent="0.25">
      <c r="A48" s="6" t="s">
        <v>106</v>
      </c>
      <c r="B48" s="6" t="s">
        <v>12</v>
      </c>
      <c r="C48" s="9">
        <v>45365</v>
      </c>
      <c r="D48" s="6" t="s">
        <v>78</v>
      </c>
      <c r="E48" s="6" t="s">
        <v>71</v>
      </c>
      <c r="F48" s="7">
        <v>3361</v>
      </c>
      <c r="G48" s="7">
        <v>188</v>
      </c>
      <c r="H48" s="7">
        <v>358</v>
      </c>
      <c r="I48" s="7">
        <v>39838</v>
      </c>
      <c r="J48" s="28">
        <f>(Posts[[#This Row],[Likes]]+Posts[[#This Row],[Shares]]+Posts[[#This Row],[Comments]])/Posts[[#This Row],[Impressions]]</f>
        <v>9.8072192379135503E-2</v>
      </c>
      <c r="K48" s="7">
        <v>24536</v>
      </c>
      <c r="L48" s="7">
        <v>120</v>
      </c>
      <c r="M48" s="6" t="s">
        <v>26</v>
      </c>
      <c r="N48" s="6" t="s">
        <v>22</v>
      </c>
      <c r="O48" s="6" t="s">
        <v>9</v>
      </c>
      <c r="P48" s="8">
        <f>SUM(Posts[[#This Row],[Likes]:[Comments]])</f>
        <v>3907</v>
      </c>
    </row>
    <row r="49" spans="1:16" x14ac:dyDescent="0.25">
      <c r="A49" s="6" t="s">
        <v>107</v>
      </c>
      <c r="B49" s="6" t="s">
        <v>11</v>
      </c>
      <c r="C49" s="9">
        <v>45693</v>
      </c>
      <c r="D49" s="6" t="s">
        <v>53</v>
      </c>
      <c r="E49" s="6" t="s">
        <v>58</v>
      </c>
      <c r="F49" s="7">
        <v>3074</v>
      </c>
      <c r="G49" s="7">
        <v>371</v>
      </c>
      <c r="H49" s="7">
        <v>348</v>
      </c>
      <c r="I49" s="7">
        <v>24104</v>
      </c>
      <c r="J49" s="28">
        <f>(Posts[[#This Row],[Likes]]+Posts[[#This Row],[Shares]]+Posts[[#This Row],[Comments]])/Posts[[#This Row],[Impressions]]</f>
        <v>0.15735977431131762</v>
      </c>
      <c r="K49" s="7">
        <v>57803</v>
      </c>
      <c r="L49" s="7">
        <v>213</v>
      </c>
      <c r="M49" s="6" t="s">
        <v>18</v>
      </c>
      <c r="N49" s="6"/>
      <c r="O49" s="6" t="s">
        <v>15</v>
      </c>
      <c r="P49" s="8">
        <f>SUM(Posts[[#This Row],[Likes]:[Comments]])</f>
        <v>3793</v>
      </c>
    </row>
    <row r="50" spans="1:16" x14ac:dyDescent="0.25">
      <c r="A50" s="6" t="s">
        <v>108</v>
      </c>
      <c r="B50" s="6" t="s">
        <v>17</v>
      </c>
      <c r="C50" s="9">
        <v>45533</v>
      </c>
      <c r="D50" s="6" t="s">
        <v>53</v>
      </c>
      <c r="E50" s="6" t="s">
        <v>62</v>
      </c>
      <c r="F50" s="7">
        <v>4276</v>
      </c>
      <c r="G50" s="7">
        <v>227</v>
      </c>
      <c r="H50" s="7">
        <v>223</v>
      </c>
      <c r="I50" s="7">
        <v>43443</v>
      </c>
      <c r="J50" s="28">
        <f>(Posts[[#This Row],[Likes]]+Posts[[#This Row],[Shares]]+Posts[[#This Row],[Comments]])/Posts[[#This Row],[Impressions]]</f>
        <v>0.1087862256289851</v>
      </c>
      <c r="K50" s="7">
        <v>41005</v>
      </c>
      <c r="L50" s="7">
        <v>191</v>
      </c>
      <c r="M50" s="6" t="s">
        <v>26</v>
      </c>
      <c r="N50" s="6" t="s">
        <v>14</v>
      </c>
      <c r="O50" s="6" t="s">
        <v>19</v>
      </c>
      <c r="P50" s="8">
        <f>SUM(Posts[[#This Row],[Likes]:[Comments]])</f>
        <v>4726</v>
      </c>
    </row>
    <row r="51" spans="1:16" x14ac:dyDescent="0.25">
      <c r="A51" s="6" t="s">
        <v>109</v>
      </c>
      <c r="B51" s="6" t="s">
        <v>17</v>
      </c>
      <c r="C51" s="9">
        <v>45769</v>
      </c>
      <c r="D51" s="6" t="s">
        <v>48</v>
      </c>
      <c r="E51" s="6" t="s">
        <v>49</v>
      </c>
      <c r="F51" s="7">
        <v>4401</v>
      </c>
      <c r="G51" s="7">
        <v>421</v>
      </c>
      <c r="H51" s="7">
        <v>216</v>
      </c>
      <c r="I51" s="7">
        <v>24890</v>
      </c>
      <c r="J51" s="28">
        <f>(Posts[[#This Row],[Likes]]+Posts[[#This Row],[Shares]]+Posts[[#This Row],[Comments]])/Posts[[#This Row],[Impressions]]</f>
        <v>0.20241060666934513</v>
      </c>
      <c r="K51" s="7">
        <v>54361</v>
      </c>
      <c r="L51" s="7">
        <v>148</v>
      </c>
      <c r="M51" s="6" t="s">
        <v>18</v>
      </c>
      <c r="N51" s="6"/>
      <c r="O51" s="6" t="s">
        <v>19</v>
      </c>
      <c r="P51" s="8">
        <f>SUM(Posts[[#This Row],[Likes]:[Comments]])</f>
        <v>5038</v>
      </c>
    </row>
    <row r="52" spans="1:16" x14ac:dyDescent="0.25">
      <c r="A52" s="6" t="s">
        <v>110</v>
      </c>
      <c r="B52" s="6" t="s">
        <v>12</v>
      </c>
      <c r="C52" s="9">
        <v>45425</v>
      </c>
      <c r="D52" s="6" t="s">
        <v>78</v>
      </c>
      <c r="E52" s="6" t="s">
        <v>51</v>
      </c>
      <c r="F52" s="7">
        <v>4161</v>
      </c>
      <c r="G52" s="7">
        <v>481</v>
      </c>
      <c r="H52" s="7">
        <v>61</v>
      </c>
      <c r="I52" s="7">
        <v>45884</v>
      </c>
      <c r="J52" s="28">
        <f>(Posts[[#This Row],[Likes]]+Posts[[#This Row],[Shares]]+Posts[[#This Row],[Comments]])/Posts[[#This Row],[Impressions]]</f>
        <v>0.10249760265016128</v>
      </c>
      <c r="K52" s="7">
        <v>48955</v>
      </c>
      <c r="L52" s="7">
        <v>215</v>
      </c>
      <c r="M52" s="6" t="s">
        <v>26</v>
      </c>
      <c r="N52" s="6" t="s">
        <v>22</v>
      </c>
      <c r="O52" s="6" t="s">
        <v>9</v>
      </c>
      <c r="P52" s="8">
        <f>SUM(Posts[[#This Row],[Likes]:[Comments]])</f>
        <v>4703</v>
      </c>
    </row>
    <row r="53" spans="1:16" x14ac:dyDescent="0.25">
      <c r="A53" s="6" t="s">
        <v>111</v>
      </c>
      <c r="B53" s="6" t="s">
        <v>17</v>
      </c>
      <c r="C53" s="9">
        <v>45539</v>
      </c>
      <c r="D53" s="6" t="s">
        <v>53</v>
      </c>
      <c r="E53" s="6" t="s">
        <v>54</v>
      </c>
      <c r="F53" s="7">
        <v>2613</v>
      </c>
      <c r="G53" s="7">
        <v>455</v>
      </c>
      <c r="H53" s="7">
        <v>228</v>
      </c>
      <c r="I53" s="7">
        <v>21645</v>
      </c>
      <c r="J53" s="28">
        <f>(Posts[[#This Row],[Likes]]+Posts[[#This Row],[Shares]]+Posts[[#This Row],[Comments]])/Posts[[#This Row],[Impressions]]</f>
        <v>0.15227535227535227</v>
      </c>
      <c r="K53" s="7">
        <v>61334</v>
      </c>
      <c r="L53" s="7">
        <v>261</v>
      </c>
      <c r="M53" s="6" t="s">
        <v>26</v>
      </c>
      <c r="N53" s="6" t="s">
        <v>14</v>
      </c>
      <c r="O53" s="6" t="s">
        <v>19</v>
      </c>
      <c r="P53" s="8">
        <f>SUM(Posts[[#This Row],[Likes]:[Comments]])</f>
        <v>3296</v>
      </c>
    </row>
    <row r="54" spans="1:16" x14ac:dyDescent="0.25">
      <c r="A54" s="6" t="s">
        <v>112</v>
      </c>
      <c r="B54" s="6" t="s">
        <v>17</v>
      </c>
      <c r="C54" s="9">
        <v>45516</v>
      </c>
      <c r="D54" s="6" t="s">
        <v>53</v>
      </c>
      <c r="E54" s="6" t="s">
        <v>60</v>
      </c>
      <c r="F54" s="7">
        <v>2842</v>
      </c>
      <c r="G54" s="7">
        <v>213</v>
      </c>
      <c r="H54" s="7">
        <v>331</v>
      </c>
      <c r="I54" s="7">
        <v>57660</v>
      </c>
      <c r="J54" s="28">
        <f>(Posts[[#This Row],[Likes]]+Posts[[#This Row],[Shares]]+Posts[[#This Row],[Comments]])/Posts[[#This Row],[Impressions]]</f>
        <v>5.8723551855705859E-2</v>
      </c>
      <c r="K54" s="7">
        <v>68606</v>
      </c>
      <c r="L54" s="7">
        <v>87</v>
      </c>
      <c r="M54" s="6" t="s">
        <v>14</v>
      </c>
      <c r="N54" s="6" t="s">
        <v>18</v>
      </c>
      <c r="O54" s="6" t="s">
        <v>19</v>
      </c>
      <c r="P54" s="8">
        <f>SUM(Posts[[#This Row],[Likes]:[Comments]])</f>
        <v>3386</v>
      </c>
    </row>
    <row r="55" spans="1:16" x14ac:dyDescent="0.25">
      <c r="A55" s="6" t="s">
        <v>113</v>
      </c>
      <c r="B55" s="6" t="s">
        <v>11</v>
      </c>
      <c r="C55" s="9">
        <v>45722</v>
      </c>
      <c r="D55" s="6" t="s">
        <v>48</v>
      </c>
      <c r="E55" s="6" t="s">
        <v>62</v>
      </c>
      <c r="F55" s="7">
        <v>4851</v>
      </c>
      <c r="G55" s="7">
        <v>460</v>
      </c>
      <c r="H55" s="7">
        <v>212</v>
      </c>
      <c r="I55" s="7">
        <v>58075</v>
      </c>
      <c r="J55" s="28">
        <f>(Posts[[#This Row],[Likes]]+Posts[[#This Row],[Shares]]+Posts[[#This Row],[Comments]])/Posts[[#This Row],[Impressions]]</f>
        <v>9.5101162290142052E-2</v>
      </c>
      <c r="K55" s="7">
        <v>59574</v>
      </c>
      <c r="L55" s="7">
        <v>239</v>
      </c>
      <c r="M55" s="6" t="s">
        <v>26</v>
      </c>
      <c r="N55" s="6"/>
      <c r="O55" s="6" t="s">
        <v>23</v>
      </c>
      <c r="P55" s="8">
        <f>SUM(Posts[[#This Row],[Likes]:[Comments]])</f>
        <v>5523</v>
      </c>
    </row>
    <row r="56" spans="1:16" x14ac:dyDescent="0.25">
      <c r="A56" s="6" t="s">
        <v>114</v>
      </c>
      <c r="B56" s="6" t="s">
        <v>17</v>
      </c>
      <c r="C56" s="9">
        <v>45420</v>
      </c>
      <c r="D56" s="6" t="s">
        <v>48</v>
      </c>
      <c r="E56" s="6" t="s">
        <v>51</v>
      </c>
      <c r="F56" s="7">
        <v>1828</v>
      </c>
      <c r="G56" s="7">
        <v>450</v>
      </c>
      <c r="H56" s="7">
        <v>214</v>
      </c>
      <c r="I56" s="7">
        <v>52115</v>
      </c>
      <c r="J56" s="28">
        <f>(Posts[[#This Row],[Likes]]+Posts[[#This Row],[Shares]]+Posts[[#This Row],[Comments]])/Posts[[#This Row],[Impressions]]</f>
        <v>4.781732706514439E-2</v>
      </c>
      <c r="K56" s="7">
        <v>19166</v>
      </c>
      <c r="L56" s="7">
        <v>190</v>
      </c>
      <c r="M56" s="6" t="s">
        <v>18</v>
      </c>
      <c r="N56" s="6"/>
      <c r="O56" s="6" t="s">
        <v>19</v>
      </c>
      <c r="P56" s="8">
        <f>SUM(Posts[[#This Row],[Likes]:[Comments]])</f>
        <v>2492</v>
      </c>
    </row>
    <row r="57" spans="1:16" x14ac:dyDescent="0.25">
      <c r="A57" s="6" t="s">
        <v>115</v>
      </c>
      <c r="B57" s="6" t="s">
        <v>11</v>
      </c>
      <c r="C57" s="9">
        <v>45707</v>
      </c>
      <c r="D57" s="6" t="s">
        <v>53</v>
      </c>
      <c r="E57" s="6" t="s">
        <v>71</v>
      </c>
      <c r="F57" s="7">
        <v>2422</v>
      </c>
      <c r="G57" s="7">
        <v>455</v>
      </c>
      <c r="H57" s="7">
        <v>376</v>
      </c>
      <c r="I57" s="7">
        <v>23428</v>
      </c>
      <c r="J57" s="28">
        <f>(Posts[[#This Row],[Likes]]+Posts[[#This Row],[Shares]]+Posts[[#This Row],[Comments]])/Posts[[#This Row],[Impressions]]</f>
        <v>0.13885094758408742</v>
      </c>
      <c r="K57" s="7">
        <v>46775</v>
      </c>
      <c r="L57" s="7">
        <v>259</v>
      </c>
      <c r="M57" s="6" t="s">
        <v>18</v>
      </c>
      <c r="N57" s="6"/>
      <c r="O57" s="6" t="s">
        <v>15</v>
      </c>
      <c r="P57" s="8">
        <f>SUM(Posts[[#This Row],[Likes]:[Comments]])</f>
        <v>3253</v>
      </c>
    </row>
    <row r="58" spans="1:16" x14ac:dyDescent="0.25">
      <c r="A58" s="6" t="s">
        <v>116</v>
      </c>
      <c r="B58" s="6" t="s">
        <v>11</v>
      </c>
      <c r="C58" s="9">
        <v>45299</v>
      </c>
      <c r="D58" s="6" t="s">
        <v>48</v>
      </c>
      <c r="E58" s="6" t="s">
        <v>65</v>
      </c>
      <c r="F58" s="7">
        <v>2683</v>
      </c>
      <c r="G58" s="7">
        <v>405</v>
      </c>
      <c r="H58" s="7">
        <v>223</v>
      </c>
      <c r="I58" s="7">
        <v>31233</v>
      </c>
      <c r="J58" s="28">
        <f>(Posts[[#This Row],[Likes]]+Posts[[#This Row],[Shares]]+Posts[[#This Row],[Comments]])/Posts[[#This Row],[Impressions]]</f>
        <v>0.10600966926007749</v>
      </c>
      <c r="K58" s="7">
        <v>58106</v>
      </c>
      <c r="L58" s="7">
        <v>291</v>
      </c>
      <c r="M58" s="6" t="s">
        <v>26</v>
      </c>
      <c r="N58" s="6"/>
      <c r="O58" s="6" t="s">
        <v>23</v>
      </c>
      <c r="P58" s="8">
        <f>SUM(Posts[[#This Row],[Likes]:[Comments]])</f>
        <v>3311</v>
      </c>
    </row>
    <row r="59" spans="1:16" x14ac:dyDescent="0.25">
      <c r="A59" s="6" t="s">
        <v>117</v>
      </c>
      <c r="B59" s="6" t="s">
        <v>12</v>
      </c>
      <c r="C59" s="9">
        <v>45490</v>
      </c>
      <c r="D59" s="6" t="s">
        <v>48</v>
      </c>
      <c r="E59" s="6" t="s">
        <v>65</v>
      </c>
      <c r="F59" s="7">
        <v>3135</v>
      </c>
      <c r="G59" s="7">
        <v>110</v>
      </c>
      <c r="H59" s="7">
        <v>215</v>
      </c>
      <c r="I59" s="7">
        <v>39192</v>
      </c>
      <c r="J59" s="28">
        <f>(Posts[[#This Row],[Likes]]+Posts[[#This Row],[Shares]]+Posts[[#This Row],[Comments]])/Posts[[#This Row],[Impressions]]</f>
        <v>8.8283323127168814E-2</v>
      </c>
      <c r="K59" s="7">
        <v>24744</v>
      </c>
      <c r="L59" s="7">
        <v>177</v>
      </c>
      <c r="M59" s="6" t="s">
        <v>26</v>
      </c>
      <c r="N59" s="6" t="s">
        <v>13</v>
      </c>
      <c r="O59" s="6" t="s">
        <v>23</v>
      </c>
      <c r="P59" s="8">
        <f>SUM(Posts[[#This Row],[Likes]:[Comments]])</f>
        <v>3460</v>
      </c>
    </row>
    <row r="60" spans="1:16" x14ac:dyDescent="0.25">
      <c r="A60" s="6" t="s">
        <v>118</v>
      </c>
      <c r="B60" s="6" t="s">
        <v>12</v>
      </c>
      <c r="C60" s="9">
        <v>45514</v>
      </c>
      <c r="D60" s="6" t="s">
        <v>48</v>
      </c>
      <c r="E60" s="6" t="s">
        <v>71</v>
      </c>
      <c r="F60" s="7">
        <v>1105</v>
      </c>
      <c r="G60" s="7">
        <v>181</v>
      </c>
      <c r="H60" s="7">
        <v>55</v>
      </c>
      <c r="I60" s="7">
        <v>53581</v>
      </c>
      <c r="J60" s="28">
        <f>(Posts[[#This Row],[Likes]]+Posts[[#This Row],[Shares]]+Posts[[#This Row],[Comments]])/Posts[[#This Row],[Impressions]]</f>
        <v>2.50275284149232E-2</v>
      </c>
      <c r="K60" s="7">
        <v>74048</v>
      </c>
      <c r="L60" s="7">
        <v>220</v>
      </c>
      <c r="M60" s="6" t="s">
        <v>26</v>
      </c>
      <c r="N60" s="6" t="s">
        <v>13</v>
      </c>
      <c r="O60" s="6" t="s">
        <v>23</v>
      </c>
      <c r="P60" s="8">
        <f>SUM(Posts[[#This Row],[Likes]:[Comments]])</f>
        <v>1341</v>
      </c>
    </row>
    <row r="61" spans="1:16" x14ac:dyDescent="0.25">
      <c r="A61" s="6" t="s">
        <v>119</v>
      </c>
      <c r="B61" s="6" t="s">
        <v>12</v>
      </c>
      <c r="C61" s="9">
        <v>45398</v>
      </c>
      <c r="D61" s="6" t="s">
        <v>48</v>
      </c>
      <c r="E61" s="6" t="s">
        <v>49</v>
      </c>
      <c r="F61" s="7">
        <v>4674</v>
      </c>
      <c r="G61" s="7">
        <v>326</v>
      </c>
      <c r="H61" s="7">
        <v>62</v>
      </c>
      <c r="I61" s="7">
        <v>45503</v>
      </c>
      <c r="J61" s="28">
        <f>(Posts[[#This Row],[Likes]]+Posts[[#This Row],[Shares]]+Posts[[#This Row],[Comments]])/Posts[[#This Row],[Impressions]]</f>
        <v>0.11124541239039185</v>
      </c>
      <c r="K61" s="7">
        <v>46814</v>
      </c>
      <c r="L61" s="7">
        <v>116</v>
      </c>
      <c r="M61" s="6" t="s">
        <v>26</v>
      </c>
      <c r="N61" s="6" t="s">
        <v>13</v>
      </c>
      <c r="O61" s="6" t="s">
        <v>23</v>
      </c>
      <c r="P61" s="8">
        <f>SUM(Posts[[#This Row],[Likes]:[Comments]])</f>
        <v>5062</v>
      </c>
    </row>
    <row r="62" spans="1:16" x14ac:dyDescent="0.25">
      <c r="A62" s="6" t="s">
        <v>120</v>
      </c>
      <c r="B62" s="6" t="s">
        <v>12</v>
      </c>
      <c r="C62" s="9">
        <v>45292</v>
      </c>
      <c r="D62" s="6" t="s">
        <v>78</v>
      </c>
      <c r="E62" s="6" t="s">
        <v>51</v>
      </c>
      <c r="F62" s="7">
        <v>3437</v>
      </c>
      <c r="G62" s="7">
        <v>129</v>
      </c>
      <c r="H62" s="7">
        <v>359</v>
      </c>
      <c r="I62" s="7">
        <v>44558</v>
      </c>
      <c r="J62" s="28">
        <f>(Posts[[#This Row],[Likes]]+Posts[[#This Row],[Shares]]+Posts[[#This Row],[Comments]])/Posts[[#This Row],[Impressions]]</f>
        <v>8.8087436599488311E-2</v>
      </c>
      <c r="K62" s="7">
        <v>30854</v>
      </c>
      <c r="L62" s="7">
        <v>171</v>
      </c>
      <c r="M62" s="6" t="s">
        <v>26</v>
      </c>
      <c r="N62" s="6" t="s">
        <v>22</v>
      </c>
      <c r="O62" s="6" t="s">
        <v>9</v>
      </c>
      <c r="P62" s="8">
        <f>SUM(Posts[[#This Row],[Likes]:[Comments]])</f>
        <v>3925</v>
      </c>
    </row>
    <row r="63" spans="1:16" x14ac:dyDescent="0.25">
      <c r="A63" s="6" t="s">
        <v>121</v>
      </c>
      <c r="B63" s="6" t="s">
        <v>17</v>
      </c>
      <c r="C63" s="9">
        <v>45599</v>
      </c>
      <c r="D63" s="6" t="s">
        <v>53</v>
      </c>
      <c r="E63" s="6" t="s">
        <v>56</v>
      </c>
      <c r="F63" s="7">
        <v>1959</v>
      </c>
      <c r="G63" s="7">
        <v>316</v>
      </c>
      <c r="H63" s="7">
        <v>82</v>
      </c>
      <c r="I63" s="7">
        <v>54036</v>
      </c>
      <c r="J63" s="28">
        <f>(Posts[[#This Row],[Likes]]+Posts[[#This Row],[Shares]]+Posts[[#This Row],[Comments]])/Posts[[#This Row],[Impressions]]</f>
        <v>4.3619068768968837E-2</v>
      </c>
      <c r="K63" s="7">
        <v>69015</v>
      </c>
      <c r="L63" s="7">
        <v>182</v>
      </c>
      <c r="M63" s="6" t="s">
        <v>14</v>
      </c>
      <c r="N63" s="6" t="s">
        <v>18</v>
      </c>
      <c r="O63" s="6" t="s">
        <v>19</v>
      </c>
      <c r="P63" s="8">
        <f>SUM(Posts[[#This Row],[Likes]:[Comments]])</f>
        <v>2357</v>
      </c>
    </row>
    <row r="64" spans="1:16" x14ac:dyDescent="0.25">
      <c r="A64" s="6" t="s">
        <v>122</v>
      </c>
      <c r="B64" s="6" t="s">
        <v>17</v>
      </c>
      <c r="C64" s="9">
        <v>45480</v>
      </c>
      <c r="D64" s="6" t="s">
        <v>48</v>
      </c>
      <c r="E64" s="6" t="s">
        <v>54</v>
      </c>
      <c r="F64" s="7">
        <v>1035</v>
      </c>
      <c r="G64" s="7">
        <v>137</v>
      </c>
      <c r="H64" s="7">
        <v>184</v>
      </c>
      <c r="I64" s="7">
        <v>37302</v>
      </c>
      <c r="J64" s="28">
        <f>(Posts[[#This Row],[Likes]]+Posts[[#This Row],[Shares]]+Posts[[#This Row],[Comments]])/Posts[[#This Row],[Impressions]]</f>
        <v>3.6351938233874857E-2</v>
      </c>
      <c r="K64" s="7">
        <v>68953</v>
      </c>
      <c r="L64" s="7">
        <v>237</v>
      </c>
      <c r="M64" s="6" t="s">
        <v>22</v>
      </c>
      <c r="N64" s="6"/>
      <c r="O64" s="6" t="s">
        <v>23</v>
      </c>
      <c r="P64" s="8">
        <f>SUM(Posts[[#This Row],[Likes]:[Comments]])</f>
        <v>1356</v>
      </c>
    </row>
    <row r="65" spans="1:16" x14ac:dyDescent="0.25">
      <c r="A65" s="6" t="s">
        <v>123</v>
      </c>
      <c r="B65" s="6" t="s">
        <v>17</v>
      </c>
      <c r="C65" s="9">
        <v>45679</v>
      </c>
      <c r="D65" s="6" t="s">
        <v>53</v>
      </c>
      <c r="E65" s="6" t="s">
        <v>54</v>
      </c>
      <c r="F65" s="7">
        <v>4478</v>
      </c>
      <c r="G65" s="7">
        <v>101</v>
      </c>
      <c r="H65" s="7">
        <v>121</v>
      </c>
      <c r="I65" s="7">
        <v>51035</v>
      </c>
      <c r="J65" s="28">
        <f>(Posts[[#This Row],[Likes]]+Posts[[#This Row],[Shares]]+Posts[[#This Row],[Comments]])/Posts[[#This Row],[Impressions]]</f>
        <v>9.2093661212893113E-2</v>
      </c>
      <c r="K65" s="7">
        <v>58207</v>
      </c>
      <c r="L65" s="7">
        <v>205</v>
      </c>
      <c r="M65" s="6" t="s">
        <v>14</v>
      </c>
      <c r="N65" s="6" t="s">
        <v>18</v>
      </c>
      <c r="O65" s="6" t="s">
        <v>19</v>
      </c>
      <c r="P65" s="8">
        <f>SUM(Posts[[#This Row],[Likes]:[Comments]])</f>
        <v>4700</v>
      </c>
    </row>
    <row r="66" spans="1:16" x14ac:dyDescent="0.25">
      <c r="A66" s="6" t="s">
        <v>124</v>
      </c>
      <c r="B66" s="6" t="s">
        <v>12</v>
      </c>
      <c r="C66" s="9">
        <v>45438</v>
      </c>
      <c r="D66" s="6" t="s">
        <v>48</v>
      </c>
      <c r="E66" s="6" t="s">
        <v>71</v>
      </c>
      <c r="F66" s="7">
        <v>1488</v>
      </c>
      <c r="G66" s="7">
        <v>327</v>
      </c>
      <c r="H66" s="7">
        <v>110</v>
      </c>
      <c r="I66" s="7">
        <v>53805</v>
      </c>
      <c r="J66" s="28">
        <f>(Posts[[#This Row],[Likes]]+Posts[[#This Row],[Shares]]+Posts[[#This Row],[Comments]])/Posts[[#This Row],[Impressions]]</f>
        <v>3.5777344113000653E-2</v>
      </c>
      <c r="K66" s="7">
        <v>30239</v>
      </c>
      <c r="L66" s="7">
        <v>109</v>
      </c>
      <c r="M66" s="6" t="s">
        <v>26</v>
      </c>
      <c r="N66" s="6" t="s">
        <v>13</v>
      </c>
      <c r="O66" s="6" t="s">
        <v>23</v>
      </c>
      <c r="P66" s="8">
        <f>SUM(Posts[[#This Row],[Likes]:[Comments]])</f>
        <v>1925</v>
      </c>
    </row>
    <row r="67" spans="1:16" x14ac:dyDescent="0.25">
      <c r="A67" s="6" t="s">
        <v>125</v>
      </c>
      <c r="B67" s="6" t="s">
        <v>11</v>
      </c>
      <c r="C67" s="9">
        <v>45763</v>
      </c>
      <c r="D67" s="6" t="s">
        <v>48</v>
      </c>
      <c r="E67" s="6" t="s">
        <v>56</v>
      </c>
      <c r="F67" s="7">
        <v>4836</v>
      </c>
      <c r="G67" s="7">
        <v>331</v>
      </c>
      <c r="H67" s="7">
        <v>140</v>
      </c>
      <c r="I67" s="7">
        <v>58792</v>
      </c>
      <c r="J67" s="28">
        <f>(Posts[[#This Row],[Likes]]+Posts[[#This Row],[Shares]]+Posts[[#This Row],[Comments]])/Posts[[#This Row],[Impressions]]</f>
        <v>9.0267383317458164E-2</v>
      </c>
      <c r="K67" s="7">
        <v>47711</v>
      </c>
      <c r="L67" s="7">
        <v>227</v>
      </c>
      <c r="M67" s="6" t="s">
        <v>22</v>
      </c>
      <c r="N67" s="6" t="s">
        <v>18</v>
      </c>
      <c r="O67" s="6" t="s">
        <v>19</v>
      </c>
      <c r="P67" s="8">
        <f>SUM(Posts[[#This Row],[Likes]:[Comments]])</f>
        <v>5307</v>
      </c>
    </row>
    <row r="68" spans="1:16" x14ac:dyDescent="0.25">
      <c r="A68" s="6" t="s">
        <v>126</v>
      </c>
      <c r="B68" s="6" t="s">
        <v>12</v>
      </c>
      <c r="C68" s="9">
        <v>45384</v>
      </c>
      <c r="D68" s="6" t="s">
        <v>78</v>
      </c>
      <c r="E68" s="6" t="s">
        <v>73</v>
      </c>
      <c r="F68" s="7">
        <v>4563</v>
      </c>
      <c r="G68" s="7">
        <v>488</v>
      </c>
      <c r="H68" s="7">
        <v>356</v>
      </c>
      <c r="I68" s="7">
        <v>30619</v>
      </c>
      <c r="J68" s="28">
        <f>(Posts[[#This Row],[Likes]]+Posts[[#This Row],[Shares]]+Posts[[#This Row],[Comments]])/Posts[[#This Row],[Impressions]]</f>
        <v>0.17658969920637513</v>
      </c>
      <c r="K68" s="7">
        <v>23328</v>
      </c>
      <c r="L68" s="7">
        <v>267</v>
      </c>
      <c r="M68" s="6" t="s">
        <v>26</v>
      </c>
      <c r="N68" s="6" t="s">
        <v>22</v>
      </c>
      <c r="O68" s="6" t="s">
        <v>9</v>
      </c>
      <c r="P68" s="8">
        <f>SUM(Posts[[#This Row],[Likes]:[Comments]])</f>
        <v>5407</v>
      </c>
    </row>
    <row r="69" spans="1:16" x14ac:dyDescent="0.25">
      <c r="A69" s="6" t="s">
        <v>127</v>
      </c>
      <c r="B69" s="6" t="s">
        <v>17</v>
      </c>
      <c r="C69" s="9">
        <v>45379</v>
      </c>
      <c r="D69" s="6" t="s">
        <v>48</v>
      </c>
      <c r="E69" s="6" t="s">
        <v>58</v>
      </c>
      <c r="F69" s="7">
        <v>3276</v>
      </c>
      <c r="G69" s="7">
        <v>421</v>
      </c>
      <c r="H69" s="7">
        <v>114</v>
      </c>
      <c r="I69" s="7">
        <v>20580</v>
      </c>
      <c r="J69" s="28">
        <f>(Posts[[#This Row],[Likes]]+Posts[[#This Row],[Shares]]+Posts[[#This Row],[Comments]])/Posts[[#This Row],[Impressions]]</f>
        <v>0.18517978620019437</v>
      </c>
      <c r="K69" s="7">
        <v>30324</v>
      </c>
      <c r="L69" s="7">
        <v>221</v>
      </c>
      <c r="M69" s="6" t="s">
        <v>22</v>
      </c>
      <c r="N69" s="6"/>
      <c r="O69" s="6" t="s">
        <v>23</v>
      </c>
      <c r="P69" s="8">
        <f>SUM(Posts[[#This Row],[Likes]:[Comments]])</f>
        <v>3811</v>
      </c>
    </row>
    <row r="70" spans="1:16" x14ac:dyDescent="0.25">
      <c r="A70" s="6" t="s">
        <v>128</v>
      </c>
      <c r="B70" s="6" t="s">
        <v>17</v>
      </c>
      <c r="C70" s="9">
        <v>45643</v>
      </c>
      <c r="D70" s="6" t="s">
        <v>53</v>
      </c>
      <c r="E70" s="6" t="s">
        <v>58</v>
      </c>
      <c r="F70" s="7">
        <v>1316</v>
      </c>
      <c r="G70" s="7">
        <v>472</v>
      </c>
      <c r="H70" s="7">
        <v>286</v>
      </c>
      <c r="I70" s="7">
        <v>44692</v>
      </c>
      <c r="J70" s="28">
        <f>(Posts[[#This Row],[Likes]]+Posts[[#This Row],[Shares]]+Posts[[#This Row],[Comments]])/Posts[[#This Row],[Impressions]]</f>
        <v>4.6406515707509172E-2</v>
      </c>
      <c r="K70" s="7">
        <v>53343</v>
      </c>
      <c r="L70" s="7">
        <v>227</v>
      </c>
      <c r="M70" s="6" t="s">
        <v>26</v>
      </c>
      <c r="N70" s="6" t="s">
        <v>14</v>
      </c>
      <c r="O70" s="6" t="s">
        <v>19</v>
      </c>
      <c r="P70" s="8">
        <f>SUM(Posts[[#This Row],[Likes]:[Comments]])</f>
        <v>2074</v>
      </c>
    </row>
    <row r="71" spans="1:16" x14ac:dyDescent="0.25">
      <c r="A71" s="6" t="s">
        <v>129</v>
      </c>
      <c r="B71" s="6" t="s">
        <v>17</v>
      </c>
      <c r="C71" s="9">
        <v>45662</v>
      </c>
      <c r="D71" s="6" t="s">
        <v>48</v>
      </c>
      <c r="E71" s="6" t="s">
        <v>56</v>
      </c>
      <c r="F71" s="7">
        <v>4811</v>
      </c>
      <c r="G71" s="7">
        <v>473</v>
      </c>
      <c r="H71" s="7">
        <v>254</v>
      </c>
      <c r="I71" s="7">
        <v>51964</v>
      </c>
      <c r="J71" s="28">
        <f>(Posts[[#This Row],[Likes]]+Posts[[#This Row],[Shares]]+Posts[[#This Row],[Comments]])/Posts[[#This Row],[Impressions]]</f>
        <v>0.10657378184897237</v>
      </c>
      <c r="K71" s="7">
        <v>68795</v>
      </c>
      <c r="L71" s="7">
        <v>107</v>
      </c>
      <c r="M71" s="6" t="s">
        <v>18</v>
      </c>
      <c r="N71" s="6"/>
      <c r="O71" s="6" t="s">
        <v>19</v>
      </c>
      <c r="P71" s="8">
        <f>SUM(Posts[[#This Row],[Likes]:[Comments]])</f>
        <v>5538</v>
      </c>
    </row>
    <row r="72" spans="1:16" x14ac:dyDescent="0.25">
      <c r="A72" s="6" t="s">
        <v>130</v>
      </c>
      <c r="B72" s="6" t="s">
        <v>17</v>
      </c>
      <c r="C72" s="9">
        <v>45302</v>
      </c>
      <c r="D72" s="6" t="s">
        <v>48</v>
      </c>
      <c r="E72" s="6" t="s">
        <v>60</v>
      </c>
      <c r="F72" s="7">
        <v>4218</v>
      </c>
      <c r="G72" s="7">
        <v>247</v>
      </c>
      <c r="H72" s="7">
        <v>183</v>
      </c>
      <c r="I72" s="7">
        <v>28914</v>
      </c>
      <c r="J72" s="28">
        <f>(Posts[[#This Row],[Likes]]+Posts[[#This Row],[Shares]]+Posts[[#This Row],[Comments]])/Posts[[#This Row],[Impressions]]</f>
        <v>0.1607525766064882</v>
      </c>
      <c r="K72" s="7">
        <v>18310</v>
      </c>
      <c r="L72" s="7">
        <v>135</v>
      </c>
      <c r="M72" s="6" t="s">
        <v>22</v>
      </c>
      <c r="N72" s="6"/>
      <c r="O72" s="6" t="s">
        <v>23</v>
      </c>
      <c r="P72" s="8">
        <f>SUM(Posts[[#This Row],[Likes]:[Comments]])</f>
        <v>4648</v>
      </c>
    </row>
    <row r="73" spans="1:16" x14ac:dyDescent="0.25">
      <c r="A73" s="6" t="s">
        <v>131</v>
      </c>
      <c r="B73" s="6" t="s">
        <v>11</v>
      </c>
      <c r="C73" s="9">
        <v>45576</v>
      </c>
      <c r="D73" s="6" t="s">
        <v>48</v>
      </c>
      <c r="E73" s="6" t="s">
        <v>71</v>
      </c>
      <c r="F73" s="7">
        <v>1360</v>
      </c>
      <c r="G73" s="7">
        <v>249</v>
      </c>
      <c r="H73" s="7">
        <v>52</v>
      </c>
      <c r="I73" s="7">
        <v>20368</v>
      </c>
      <c r="J73" s="28">
        <f>(Posts[[#This Row],[Likes]]+Posts[[#This Row],[Shares]]+Posts[[#This Row],[Comments]])/Posts[[#This Row],[Impressions]]</f>
        <v>8.1549489395129612E-2</v>
      </c>
      <c r="K73" s="7">
        <v>42152</v>
      </c>
      <c r="L73" s="7">
        <v>193</v>
      </c>
      <c r="M73" s="6" t="s">
        <v>26</v>
      </c>
      <c r="N73" s="6"/>
      <c r="O73" s="6" t="s">
        <v>23</v>
      </c>
      <c r="P73" s="8">
        <f>SUM(Posts[[#This Row],[Likes]:[Comments]])</f>
        <v>1661</v>
      </c>
    </row>
    <row r="74" spans="1:16" x14ac:dyDescent="0.25">
      <c r="A74" s="6" t="s">
        <v>132</v>
      </c>
      <c r="B74" s="6" t="s">
        <v>12</v>
      </c>
      <c r="C74" s="9">
        <v>45783</v>
      </c>
      <c r="D74" s="6" t="s">
        <v>78</v>
      </c>
      <c r="E74" s="6" t="s">
        <v>49</v>
      </c>
      <c r="F74" s="7">
        <v>1085</v>
      </c>
      <c r="G74" s="7">
        <v>496</v>
      </c>
      <c r="H74" s="7">
        <v>320</v>
      </c>
      <c r="I74" s="7">
        <v>36528</v>
      </c>
      <c r="J74" s="28">
        <f>(Posts[[#This Row],[Likes]]+Posts[[#This Row],[Shares]]+Posts[[#This Row],[Comments]])/Posts[[#This Row],[Impressions]]</f>
        <v>5.2042268944371438E-2</v>
      </c>
      <c r="K74" s="7">
        <v>38599</v>
      </c>
      <c r="L74" s="7">
        <v>270</v>
      </c>
      <c r="M74" s="6" t="s">
        <v>26</v>
      </c>
      <c r="N74" s="6" t="s">
        <v>22</v>
      </c>
      <c r="O74" s="6" t="s">
        <v>9</v>
      </c>
      <c r="P74" s="8">
        <f>SUM(Posts[[#This Row],[Likes]:[Comments]])</f>
        <v>1901</v>
      </c>
    </row>
    <row r="75" spans="1:16" x14ac:dyDescent="0.25">
      <c r="A75" s="6" t="s">
        <v>133</v>
      </c>
      <c r="B75" s="6" t="s">
        <v>17</v>
      </c>
      <c r="C75" s="9">
        <v>45431</v>
      </c>
      <c r="D75" s="6" t="s">
        <v>53</v>
      </c>
      <c r="E75" s="6" t="s">
        <v>62</v>
      </c>
      <c r="F75" s="7">
        <v>1763</v>
      </c>
      <c r="G75" s="7">
        <v>206</v>
      </c>
      <c r="H75" s="7">
        <v>187</v>
      </c>
      <c r="I75" s="7">
        <v>53342</v>
      </c>
      <c r="J75" s="28">
        <f>(Posts[[#This Row],[Likes]]+Posts[[#This Row],[Shares]]+Posts[[#This Row],[Comments]])/Posts[[#This Row],[Impressions]]</f>
        <v>4.0418432004799221E-2</v>
      </c>
      <c r="K75" s="7">
        <v>25095</v>
      </c>
      <c r="L75" s="7">
        <v>88</v>
      </c>
      <c r="M75" s="6" t="s">
        <v>26</v>
      </c>
      <c r="N75" s="6" t="s">
        <v>14</v>
      </c>
      <c r="O75" s="6" t="s">
        <v>19</v>
      </c>
      <c r="P75" s="8">
        <f>SUM(Posts[[#This Row],[Likes]:[Comments]])</f>
        <v>2156</v>
      </c>
    </row>
    <row r="76" spans="1:16" x14ac:dyDescent="0.25">
      <c r="A76" s="6" t="s">
        <v>134</v>
      </c>
      <c r="B76" s="6" t="s">
        <v>17</v>
      </c>
      <c r="C76" s="9">
        <v>45313</v>
      </c>
      <c r="D76" s="6" t="s">
        <v>53</v>
      </c>
      <c r="E76" s="6" t="s">
        <v>71</v>
      </c>
      <c r="F76" s="7">
        <v>1554</v>
      </c>
      <c r="G76" s="7">
        <v>455</v>
      </c>
      <c r="H76" s="7">
        <v>158</v>
      </c>
      <c r="I76" s="7">
        <v>41947</v>
      </c>
      <c r="J76" s="28">
        <f>(Posts[[#This Row],[Likes]]+Posts[[#This Row],[Shares]]+Posts[[#This Row],[Comments]])/Posts[[#This Row],[Impressions]]</f>
        <v>5.1660428636136076E-2</v>
      </c>
      <c r="K76" s="7">
        <v>48578</v>
      </c>
      <c r="L76" s="7">
        <v>101</v>
      </c>
      <c r="M76" s="6" t="s">
        <v>22</v>
      </c>
      <c r="N76" s="6" t="s">
        <v>18</v>
      </c>
      <c r="O76" s="6" t="s">
        <v>19</v>
      </c>
      <c r="P76" s="8">
        <f>SUM(Posts[[#This Row],[Likes]:[Comments]])</f>
        <v>2167</v>
      </c>
    </row>
    <row r="77" spans="1:16" x14ac:dyDescent="0.25">
      <c r="A77" s="6" t="s">
        <v>135</v>
      </c>
      <c r="B77" s="6" t="s">
        <v>11</v>
      </c>
      <c r="C77" s="9">
        <v>45487</v>
      </c>
      <c r="D77" s="6" t="s">
        <v>48</v>
      </c>
      <c r="E77" s="6" t="s">
        <v>56</v>
      </c>
      <c r="F77" s="7">
        <v>2464</v>
      </c>
      <c r="G77" s="7">
        <v>401</v>
      </c>
      <c r="H77" s="7">
        <v>78</v>
      </c>
      <c r="I77" s="7">
        <v>38665</v>
      </c>
      <c r="J77" s="28">
        <f>(Posts[[#This Row],[Likes]]+Posts[[#This Row],[Shares]]+Posts[[#This Row],[Comments]])/Posts[[#This Row],[Impressions]]</f>
        <v>7.611534979956032E-2</v>
      </c>
      <c r="K77" s="7">
        <v>73593</v>
      </c>
      <c r="L77" s="7">
        <v>207</v>
      </c>
      <c r="M77" s="6" t="s">
        <v>26</v>
      </c>
      <c r="N77" s="6"/>
      <c r="O77" s="6" t="s">
        <v>23</v>
      </c>
      <c r="P77" s="8">
        <f>SUM(Posts[[#This Row],[Likes]:[Comments]])</f>
        <v>2943</v>
      </c>
    </row>
    <row r="78" spans="1:16" x14ac:dyDescent="0.25">
      <c r="A78" s="6" t="s">
        <v>136</v>
      </c>
      <c r="B78" s="6" t="s">
        <v>17</v>
      </c>
      <c r="C78" s="9">
        <v>45805</v>
      </c>
      <c r="D78" s="6" t="s">
        <v>48</v>
      </c>
      <c r="E78" s="6" t="s">
        <v>71</v>
      </c>
      <c r="F78" s="7">
        <v>2418</v>
      </c>
      <c r="G78" s="7">
        <v>161</v>
      </c>
      <c r="H78" s="7">
        <v>360</v>
      </c>
      <c r="I78" s="7">
        <v>30589</v>
      </c>
      <c r="J78" s="28">
        <f>(Posts[[#This Row],[Likes]]+Posts[[#This Row],[Shares]]+Posts[[#This Row],[Comments]])/Posts[[#This Row],[Impressions]]</f>
        <v>9.6080290300434801E-2</v>
      </c>
      <c r="K78" s="7">
        <v>41383</v>
      </c>
      <c r="L78" s="7">
        <v>88</v>
      </c>
      <c r="M78" s="6" t="s">
        <v>18</v>
      </c>
      <c r="N78" s="6"/>
      <c r="O78" s="6" t="s">
        <v>19</v>
      </c>
      <c r="P78" s="8">
        <f>SUM(Posts[[#This Row],[Likes]:[Comments]])</f>
        <v>2939</v>
      </c>
    </row>
    <row r="79" spans="1:16" x14ac:dyDescent="0.25">
      <c r="A79" s="6" t="s">
        <v>137</v>
      </c>
      <c r="B79" s="6" t="s">
        <v>17</v>
      </c>
      <c r="C79" s="9">
        <v>45678</v>
      </c>
      <c r="D79" s="6" t="s">
        <v>53</v>
      </c>
      <c r="E79" s="6" t="s">
        <v>49</v>
      </c>
      <c r="F79" s="7">
        <v>2494</v>
      </c>
      <c r="G79" s="7">
        <v>494</v>
      </c>
      <c r="H79" s="7">
        <v>55</v>
      </c>
      <c r="I79" s="7">
        <v>22580</v>
      </c>
      <c r="J79" s="28">
        <f>(Posts[[#This Row],[Likes]]+Posts[[#This Row],[Shares]]+Posts[[#This Row],[Comments]])/Posts[[#This Row],[Impressions]]</f>
        <v>0.13476527900797167</v>
      </c>
      <c r="K79" s="7">
        <v>22214</v>
      </c>
      <c r="L79" s="7">
        <v>109</v>
      </c>
      <c r="M79" s="6" t="s">
        <v>14</v>
      </c>
      <c r="N79" s="6" t="s">
        <v>18</v>
      </c>
      <c r="O79" s="6" t="s">
        <v>19</v>
      </c>
      <c r="P79" s="8">
        <f>SUM(Posts[[#This Row],[Likes]:[Comments]])</f>
        <v>3043</v>
      </c>
    </row>
    <row r="80" spans="1:16" x14ac:dyDescent="0.25">
      <c r="A80" s="6" t="s">
        <v>138</v>
      </c>
      <c r="B80" s="6" t="s">
        <v>12</v>
      </c>
      <c r="C80" s="9">
        <v>45304</v>
      </c>
      <c r="D80" s="6" t="s">
        <v>78</v>
      </c>
      <c r="E80" s="6" t="s">
        <v>54</v>
      </c>
      <c r="F80" s="7">
        <v>4781</v>
      </c>
      <c r="G80" s="7">
        <v>191</v>
      </c>
      <c r="H80" s="7">
        <v>122</v>
      </c>
      <c r="I80" s="7">
        <v>35535</v>
      </c>
      <c r="J80" s="28">
        <f>(Posts[[#This Row],[Likes]]+Posts[[#This Row],[Shares]]+Posts[[#This Row],[Comments]])/Posts[[#This Row],[Impressions]]</f>
        <v>0.14335162515829464</v>
      </c>
      <c r="K80" s="7">
        <v>50777</v>
      </c>
      <c r="L80" s="7">
        <v>128</v>
      </c>
      <c r="M80" s="6" t="s">
        <v>26</v>
      </c>
      <c r="N80" s="6" t="s">
        <v>22</v>
      </c>
      <c r="O80" s="6" t="s">
        <v>9</v>
      </c>
      <c r="P80" s="8">
        <f>SUM(Posts[[#This Row],[Likes]:[Comments]])</f>
        <v>5094</v>
      </c>
    </row>
    <row r="81" spans="1:16" x14ac:dyDescent="0.25">
      <c r="A81" s="6" t="s">
        <v>139</v>
      </c>
      <c r="B81" s="6" t="s">
        <v>11</v>
      </c>
      <c r="C81" s="9">
        <v>45825</v>
      </c>
      <c r="D81" s="6" t="s">
        <v>48</v>
      </c>
      <c r="E81" s="6" t="s">
        <v>58</v>
      </c>
      <c r="F81" s="7">
        <v>2284</v>
      </c>
      <c r="G81" s="7">
        <v>187</v>
      </c>
      <c r="H81" s="7">
        <v>260</v>
      </c>
      <c r="I81" s="7">
        <v>37400</v>
      </c>
      <c r="J81" s="28">
        <f>(Posts[[#This Row],[Likes]]+Posts[[#This Row],[Shares]]+Posts[[#This Row],[Comments]])/Posts[[#This Row],[Impressions]]</f>
        <v>7.3021390374331557E-2</v>
      </c>
      <c r="K81" s="7">
        <v>65014</v>
      </c>
      <c r="L81" s="7">
        <v>157</v>
      </c>
      <c r="M81" s="6" t="s">
        <v>22</v>
      </c>
      <c r="N81" s="6" t="s">
        <v>18</v>
      </c>
      <c r="O81" s="6" t="s">
        <v>19</v>
      </c>
      <c r="P81" s="8">
        <f>SUM(Posts[[#This Row],[Likes]:[Comments]])</f>
        <v>2731</v>
      </c>
    </row>
    <row r="82" spans="1:16" x14ac:dyDescent="0.25">
      <c r="A82" s="6" t="s">
        <v>140</v>
      </c>
      <c r="B82" s="6" t="s">
        <v>17</v>
      </c>
      <c r="C82" s="9">
        <v>45723</v>
      </c>
      <c r="D82" s="6" t="s">
        <v>48</v>
      </c>
      <c r="E82" s="6" t="s">
        <v>62</v>
      </c>
      <c r="F82" s="7">
        <v>4234</v>
      </c>
      <c r="G82" s="7">
        <v>486</v>
      </c>
      <c r="H82" s="7">
        <v>276</v>
      </c>
      <c r="I82" s="7">
        <v>56623</v>
      </c>
      <c r="J82" s="28">
        <f>(Posts[[#This Row],[Likes]]+Posts[[#This Row],[Shares]]+Posts[[#This Row],[Comments]])/Posts[[#This Row],[Impressions]]</f>
        <v>8.8232696960599044E-2</v>
      </c>
      <c r="K82" s="7">
        <v>41343</v>
      </c>
      <c r="L82" s="7">
        <v>184</v>
      </c>
      <c r="M82" s="6" t="s">
        <v>22</v>
      </c>
      <c r="N82" s="6"/>
      <c r="O82" s="6" t="s">
        <v>23</v>
      </c>
      <c r="P82" s="8">
        <f>SUM(Posts[[#This Row],[Likes]:[Comments]])</f>
        <v>4996</v>
      </c>
    </row>
    <row r="83" spans="1:16" x14ac:dyDescent="0.25">
      <c r="A83" s="6" t="s">
        <v>141</v>
      </c>
      <c r="B83" s="6" t="s">
        <v>11</v>
      </c>
      <c r="C83" s="9">
        <v>45530</v>
      </c>
      <c r="D83" s="6" t="s">
        <v>48</v>
      </c>
      <c r="E83" s="6" t="s">
        <v>73</v>
      </c>
      <c r="F83" s="7">
        <v>2102</v>
      </c>
      <c r="G83" s="7">
        <v>181</v>
      </c>
      <c r="H83" s="7">
        <v>306</v>
      </c>
      <c r="I83" s="7">
        <v>43650</v>
      </c>
      <c r="J83" s="28">
        <f>(Posts[[#This Row],[Likes]]+Posts[[#This Row],[Shares]]+Posts[[#This Row],[Comments]])/Posts[[#This Row],[Impressions]]</f>
        <v>5.9312714776632303E-2</v>
      </c>
      <c r="K83" s="7">
        <v>50079</v>
      </c>
      <c r="L83" s="7">
        <v>182</v>
      </c>
      <c r="M83" s="6" t="s">
        <v>26</v>
      </c>
      <c r="N83" s="6"/>
      <c r="O83" s="6" t="s">
        <v>23</v>
      </c>
      <c r="P83" s="8">
        <f>SUM(Posts[[#This Row],[Likes]:[Comments]])</f>
        <v>2589</v>
      </c>
    </row>
    <row r="84" spans="1:16" x14ac:dyDescent="0.25">
      <c r="A84" s="6" t="s">
        <v>142</v>
      </c>
      <c r="B84" s="6" t="s">
        <v>17</v>
      </c>
      <c r="C84" s="9">
        <v>45660</v>
      </c>
      <c r="D84" s="6" t="s">
        <v>53</v>
      </c>
      <c r="E84" s="6" t="s">
        <v>62</v>
      </c>
      <c r="F84" s="7">
        <v>4845</v>
      </c>
      <c r="G84" s="7">
        <v>158</v>
      </c>
      <c r="H84" s="7">
        <v>84</v>
      </c>
      <c r="I84" s="7">
        <v>34578</v>
      </c>
      <c r="J84" s="28">
        <f>(Posts[[#This Row],[Likes]]+Posts[[#This Row],[Shares]]+Posts[[#This Row],[Comments]])/Posts[[#This Row],[Impressions]]</f>
        <v>0.1471166637746544</v>
      </c>
      <c r="K84" s="7">
        <v>51480</v>
      </c>
      <c r="L84" s="7">
        <v>180</v>
      </c>
      <c r="M84" s="6" t="s">
        <v>22</v>
      </c>
      <c r="N84" s="6" t="s">
        <v>18</v>
      </c>
      <c r="O84" s="6" t="s">
        <v>19</v>
      </c>
      <c r="P84" s="8">
        <f>SUM(Posts[[#This Row],[Likes]:[Comments]])</f>
        <v>5087</v>
      </c>
    </row>
    <row r="85" spans="1:16" x14ac:dyDescent="0.25">
      <c r="A85" s="6" t="s">
        <v>143</v>
      </c>
      <c r="B85" s="6" t="s">
        <v>17</v>
      </c>
      <c r="C85" s="9">
        <v>45507</v>
      </c>
      <c r="D85" s="6" t="s">
        <v>48</v>
      </c>
      <c r="E85" s="6" t="s">
        <v>73</v>
      </c>
      <c r="F85" s="7">
        <v>4247</v>
      </c>
      <c r="G85" s="7">
        <v>390</v>
      </c>
      <c r="H85" s="7">
        <v>213</v>
      </c>
      <c r="I85" s="7">
        <v>29785</v>
      </c>
      <c r="J85" s="28">
        <f>(Posts[[#This Row],[Likes]]+Posts[[#This Row],[Shares]]+Posts[[#This Row],[Comments]])/Posts[[#This Row],[Impressions]]</f>
        <v>0.16283364109451065</v>
      </c>
      <c r="K85" s="7">
        <v>57768</v>
      </c>
      <c r="L85" s="7">
        <v>122</v>
      </c>
      <c r="M85" s="6" t="s">
        <v>18</v>
      </c>
      <c r="N85" s="6"/>
      <c r="O85" s="6" t="s">
        <v>19</v>
      </c>
      <c r="P85" s="8">
        <f>SUM(Posts[[#This Row],[Likes]:[Comments]])</f>
        <v>4850</v>
      </c>
    </row>
    <row r="86" spans="1:16" x14ac:dyDescent="0.25">
      <c r="A86" s="6" t="s">
        <v>144</v>
      </c>
      <c r="B86" s="6" t="s">
        <v>11</v>
      </c>
      <c r="C86" s="9">
        <v>45522</v>
      </c>
      <c r="D86" s="6" t="s">
        <v>48</v>
      </c>
      <c r="E86" s="6" t="s">
        <v>51</v>
      </c>
      <c r="F86" s="7">
        <v>2965</v>
      </c>
      <c r="G86" s="7">
        <v>328</v>
      </c>
      <c r="H86" s="7">
        <v>171</v>
      </c>
      <c r="I86" s="7">
        <v>57685</v>
      </c>
      <c r="J86" s="28">
        <f>(Posts[[#This Row],[Likes]]+Posts[[#This Row],[Shares]]+Posts[[#This Row],[Comments]])/Posts[[#This Row],[Impressions]]</f>
        <v>6.0050273034584378E-2</v>
      </c>
      <c r="K86" s="7">
        <v>67536</v>
      </c>
      <c r="L86" s="7">
        <v>264</v>
      </c>
      <c r="M86" s="6" t="s">
        <v>22</v>
      </c>
      <c r="N86" s="6" t="s">
        <v>18</v>
      </c>
      <c r="O86" s="6" t="s">
        <v>19</v>
      </c>
      <c r="P86" s="8">
        <f>SUM(Posts[[#This Row],[Likes]:[Comments]])</f>
        <v>3464</v>
      </c>
    </row>
    <row r="87" spans="1:16" x14ac:dyDescent="0.25">
      <c r="A87" s="6" t="s">
        <v>145</v>
      </c>
      <c r="B87" s="6" t="s">
        <v>17</v>
      </c>
      <c r="C87" s="9">
        <v>45791</v>
      </c>
      <c r="D87" s="6" t="s">
        <v>53</v>
      </c>
      <c r="E87" s="6" t="s">
        <v>56</v>
      </c>
      <c r="F87" s="7">
        <v>1371</v>
      </c>
      <c r="G87" s="7">
        <v>139</v>
      </c>
      <c r="H87" s="7">
        <v>96</v>
      </c>
      <c r="I87" s="7">
        <v>36140</v>
      </c>
      <c r="J87" s="28">
        <f>(Posts[[#This Row],[Likes]]+Posts[[#This Row],[Shares]]+Posts[[#This Row],[Comments]])/Posts[[#This Row],[Impressions]]</f>
        <v>4.4438295517432211E-2</v>
      </c>
      <c r="K87" s="7">
        <v>39395</v>
      </c>
      <c r="L87" s="7">
        <v>169</v>
      </c>
      <c r="M87" s="6" t="s">
        <v>22</v>
      </c>
      <c r="N87" s="6" t="s">
        <v>18</v>
      </c>
      <c r="O87" s="6" t="s">
        <v>19</v>
      </c>
      <c r="P87" s="8">
        <f>SUM(Posts[[#This Row],[Likes]:[Comments]])</f>
        <v>1606</v>
      </c>
    </row>
    <row r="88" spans="1:16" x14ac:dyDescent="0.25">
      <c r="A88" s="6" t="s">
        <v>146</v>
      </c>
      <c r="B88" s="6" t="s">
        <v>17</v>
      </c>
      <c r="C88" s="9">
        <v>45405</v>
      </c>
      <c r="D88" s="6" t="s">
        <v>53</v>
      </c>
      <c r="E88" s="6" t="s">
        <v>49</v>
      </c>
      <c r="F88" s="7">
        <v>2683</v>
      </c>
      <c r="G88" s="7">
        <v>496</v>
      </c>
      <c r="H88" s="7">
        <v>89</v>
      </c>
      <c r="I88" s="7">
        <v>53435</v>
      </c>
      <c r="J88" s="28">
        <f>(Posts[[#This Row],[Likes]]+Posts[[#This Row],[Shares]]+Posts[[#This Row],[Comments]])/Posts[[#This Row],[Impressions]]</f>
        <v>6.1158416768035934E-2</v>
      </c>
      <c r="K88" s="7">
        <v>30334</v>
      </c>
      <c r="L88" s="7">
        <v>160</v>
      </c>
      <c r="M88" s="6" t="s">
        <v>22</v>
      </c>
      <c r="N88" s="6" t="s">
        <v>18</v>
      </c>
      <c r="O88" s="6" t="s">
        <v>19</v>
      </c>
      <c r="P88" s="8">
        <f>SUM(Posts[[#This Row],[Likes]:[Comments]])</f>
        <v>3268</v>
      </c>
    </row>
    <row r="89" spans="1:16" x14ac:dyDescent="0.25">
      <c r="A89" s="6" t="s">
        <v>147</v>
      </c>
      <c r="B89" s="6" t="s">
        <v>17</v>
      </c>
      <c r="C89" s="9">
        <v>45705</v>
      </c>
      <c r="D89" s="6" t="s">
        <v>53</v>
      </c>
      <c r="E89" s="6" t="s">
        <v>60</v>
      </c>
      <c r="F89" s="7">
        <v>4796</v>
      </c>
      <c r="G89" s="7">
        <v>427</v>
      </c>
      <c r="H89" s="7">
        <v>339</v>
      </c>
      <c r="I89" s="7">
        <v>30752</v>
      </c>
      <c r="J89" s="28">
        <f>(Posts[[#This Row],[Likes]]+Posts[[#This Row],[Shares]]+Posts[[#This Row],[Comments]])/Posts[[#This Row],[Impressions]]</f>
        <v>0.18086628511966701</v>
      </c>
      <c r="K89" s="7">
        <v>33870</v>
      </c>
      <c r="L89" s="7">
        <v>298</v>
      </c>
      <c r="M89" s="6" t="s">
        <v>22</v>
      </c>
      <c r="N89" s="6" t="s">
        <v>18</v>
      </c>
      <c r="O89" s="6" t="s">
        <v>19</v>
      </c>
      <c r="P89" s="8">
        <f>SUM(Posts[[#This Row],[Likes]:[Comments]])</f>
        <v>5562</v>
      </c>
    </row>
    <row r="90" spans="1:16" x14ac:dyDescent="0.25">
      <c r="A90" s="6" t="s">
        <v>148</v>
      </c>
      <c r="B90" s="6" t="s">
        <v>11</v>
      </c>
      <c r="C90" s="9">
        <v>45630</v>
      </c>
      <c r="D90" s="6" t="s">
        <v>48</v>
      </c>
      <c r="E90" s="6" t="s">
        <v>56</v>
      </c>
      <c r="F90" s="7">
        <v>2601</v>
      </c>
      <c r="G90" s="7">
        <v>336</v>
      </c>
      <c r="H90" s="7">
        <v>260</v>
      </c>
      <c r="I90" s="7">
        <v>32368</v>
      </c>
      <c r="J90" s="28">
        <f>(Posts[[#This Row],[Likes]]+Posts[[#This Row],[Shares]]+Posts[[#This Row],[Comments]])/Posts[[#This Row],[Impressions]]</f>
        <v>9.8770390509144837E-2</v>
      </c>
      <c r="K90" s="7">
        <v>49028</v>
      </c>
      <c r="L90" s="7">
        <v>120</v>
      </c>
      <c r="M90" s="6" t="s">
        <v>22</v>
      </c>
      <c r="N90" s="6" t="s">
        <v>18</v>
      </c>
      <c r="O90" s="6" t="s">
        <v>19</v>
      </c>
      <c r="P90" s="8">
        <f>SUM(Posts[[#This Row],[Likes]:[Comments]])</f>
        <v>3197</v>
      </c>
    </row>
    <row r="91" spans="1:16" x14ac:dyDescent="0.25">
      <c r="A91" s="6" t="s">
        <v>149</v>
      </c>
      <c r="B91" s="6" t="s">
        <v>17</v>
      </c>
      <c r="C91" s="9">
        <v>45495</v>
      </c>
      <c r="D91" s="6" t="s">
        <v>53</v>
      </c>
      <c r="E91" s="6" t="s">
        <v>56</v>
      </c>
      <c r="F91" s="7">
        <v>3336</v>
      </c>
      <c r="G91" s="7">
        <v>229</v>
      </c>
      <c r="H91" s="7">
        <v>337</v>
      </c>
      <c r="I91" s="7">
        <v>22117</v>
      </c>
      <c r="J91" s="28">
        <f>(Posts[[#This Row],[Likes]]+Posts[[#This Row],[Shares]]+Posts[[#This Row],[Comments]])/Posts[[#This Row],[Impressions]]</f>
        <v>0.17642537414658407</v>
      </c>
      <c r="K91" s="7">
        <v>26205</v>
      </c>
      <c r="L91" s="7">
        <v>160</v>
      </c>
      <c r="M91" s="6" t="s">
        <v>14</v>
      </c>
      <c r="N91" s="6" t="s">
        <v>18</v>
      </c>
      <c r="O91" s="6" t="s">
        <v>19</v>
      </c>
      <c r="P91" s="8">
        <f>SUM(Posts[[#This Row],[Likes]:[Comments]])</f>
        <v>3902</v>
      </c>
    </row>
    <row r="92" spans="1:16" x14ac:dyDescent="0.25">
      <c r="A92" s="6" t="s">
        <v>150</v>
      </c>
      <c r="B92" s="6" t="s">
        <v>17</v>
      </c>
      <c r="C92" s="9">
        <v>45774</v>
      </c>
      <c r="D92" s="6" t="s">
        <v>48</v>
      </c>
      <c r="E92" s="6" t="s">
        <v>51</v>
      </c>
      <c r="F92" s="7">
        <v>1165</v>
      </c>
      <c r="G92" s="7">
        <v>294</v>
      </c>
      <c r="H92" s="7">
        <v>163</v>
      </c>
      <c r="I92" s="7">
        <v>20659</v>
      </c>
      <c r="J92" s="28">
        <f>(Posts[[#This Row],[Likes]]+Posts[[#This Row],[Shares]]+Posts[[#This Row],[Comments]])/Posts[[#This Row],[Impressions]]</f>
        <v>7.8512996756861422E-2</v>
      </c>
      <c r="K92" s="7">
        <v>45926</v>
      </c>
      <c r="L92" s="7">
        <v>111</v>
      </c>
      <c r="M92" s="6" t="s">
        <v>22</v>
      </c>
      <c r="N92" s="6"/>
      <c r="O92" s="6" t="s">
        <v>23</v>
      </c>
      <c r="P92" s="8">
        <f>SUM(Posts[[#This Row],[Likes]:[Comments]])</f>
        <v>1622</v>
      </c>
    </row>
    <row r="93" spans="1:16" x14ac:dyDescent="0.25">
      <c r="A93" s="6" t="s">
        <v>151</v>
      </c>
      <c r="B93" s="6" t="s">
        <v>12</v>
      </c>
      <c r="C93" s="9">
        <v>45376</v>
      </c>
      <c r="D93" s="6" t="s">
        <v>78</v>
      </c>
      <c r="E93" s="6" t="s">
        <v>51</v>
      </c>
      <c r="F93" s="7">
        <v>1948</v>
      </c>
      <c r="G93" s="7">
        <v>155</v>
      </c>
      <c r="H93" s="7">
        <v>315</v>
      </c>
      <c r="I93" s="7">
        <v>30321</v>
      </c>
      <c r="J93" s="28">
        <f>(Posts[[#This Row],[Likes]]+Posts[[#This Row],[Shares]]+Posts[[#This Row],[Comments]])/Posts[[#This Row],[Impressions]]</f>
        <v>7.974671020085089E-2</v>
      </c>
      <c r="K93" s="7">
        <v>57121</v>
      </c>
      <c r="L93" s="7">
        <v>82</v>
      </c>
      <c r="M93" s="6" t="s">
        <v>26</v>
      </c>
      <c r="N93" s="6" t="s">
        <v>22</v>
      </c>
      <c r="O93" s="6" t="s">
        <v>9</v>
      </c>
      <c r="P93" s="8">
        <f>SUM(Posts[[#This Row],[Likes]:[Comments]])</f>
        <v>2418</v>
      </c>
    </row>
    <row r="94" spans="1:16" x14ac:dyDescent="0.25">
      <c r="A94" s="6" t="s">
        <v>152</v>
      </c>
      <c r="B94" s="6" t="s">
        <v>11</v>
      </c>
      <c r="C94" s="9">
        <v>45351</v>
      </c>
      <c r="D94" s="6" t="s">
        <v>48</v>
      </c>
      <c r="E94" s="6" t="s">
        <v>71</v>
      </c>
      <c r="F94" s="7">
        <v>1100</v>
      </c>
      <c r="G94" s="7">
        <v>229</v>
      </c>
      <c r="H94" s="7">
        <v>312</v>
      </c>
      <c r="I94" s="7">
        <v>25641</v>
      </c>
      <c r="J94" s="28">
        <f>(Posts[[#This Row],[Likes]]+Posts[[#This Row],[Shares]]+Posts[[#This Row],[Comments]])/Posts[[#This Row],[Impressions]]</f>
        <v>6.3999063999063993E-2</v>
      </c>
      <c r="K94" s="7">
        <v>34601</v>
      </c>
      <c r="L94" s="7">
        <v>169</v>
      </c>
      <c r="M94" s="6" t="s">
        <v>26</v>
      </c>
      <c r="N94" s="6"/>
      <c r="O94" s="6" t="s">
        <v>23</v>
      </c>
      <c r="P94" s="8">
        <f>SUM(Posts[[#This Row],[Likes]:[Comments]])</f>
        <v>1641</v>
      </c>
    </row>
    <row r="95" spans="1:16" x14ac:dyDescent="0.25">
      <c r="A95" s="6" t="s">
        <v>153</v>
      </c>
      <c r="B95" s="6" t="s">
        <v>17</v>
      </c>
      <c r="C95" s="9">
        <v>45609</v>
      </c>
      <c r="D95" s="6" t="s">
        <v>53</v>
      </c>
      <c r="E95" s="6" t="s">
        <v>65</v>
      </c>
      <c r="F95" s="7">
        <v>4628</v>
      </c>
      <c r="G95" s="7">
        <v>257</v>
      </c>
      <c r="H95" s="7">
        <v>397</v>
      </c>
      <c r="I95" s="7">
        <v>36686</v>
      </c>
      <c r="J95" s="28">
        <f>(Posts[[#This Row],[Likes]]+Posts[[#This Row],[Shares]]+Posts[[#This Row],[Comments]])/Posts[[#This Row],[Impressions]]</f>
        <v>0.1439786294499264</v>
      </c>
      <c r="K95" s="7">
        <v>54683</v>
      </c>
      <c r="L95" s="7">
        <v>98</v>
      </c>
      <c r="M95" s="6" t="s">
        <v>22</v>
      </c>
      <c r="N95" s="6" t="s">
        <v>18</v>
      </c>
      <c r="O95" s="6" t="s">
        <v>19</v>
      </c>
      <c r="P95" s="8">
        <f>SUM(Posts[[#This Row],[Likes]:[Comments]])</f>
        <v>5282</v>
      </c>
    </row>
    <row r="96" spans="1:16" x14ac:dyDescent="0.25">
      <c r="A96" s="6" t="s">
        <v>154</v>
      </c>
      <c r="B96" s="6" t="s">
        <v>11</v>
      </c>
      <c r="C96" s="9">
        <v>45373</v>
      </c>
      <c r="D96" s="6" t="s">
        <v>53</v>
      </c>
      <c r="E96" s="6" t="s">
        <v>49</v>
      </c>
      <c r="F96" s="7">
        <v>2319</v>
      </c>
      <c r="G96" s="7">
        <v>484</v>
      </c>
      <c r="H96" s="7">
        <v>193</v>
      </c>
      <c r="I96" s="7">
        <v>21202</v>
      </c>
      <c r="J96" s="28">
        <f>(Posts[[#This Row],[Likes]]+Posts[[#This Row],[Shares]]+Posts[[#This Row],[Comments]])/Posts[[#This Row],[Impressions]]</f>
        <v>0.14130742382794076</v>
      </c>
      <c r="K96" s="7">
        <v>18091</v>
      </c>
      <c r="L96" s="7">
        <v>241</v>
      </c>
      <c r="M96" s="6" t="s">
        <v>18</v>
      </c>
      <c r="N96" s="6"/>
      <c r="O96" s="6" t="s">
        <v>15</v>
      </c>
      <c r="P96" s="8">
        <f>SUM(Posts[[#This Row],[Likes]:[Comments]])</f>
        <v>2996</v>
      </c>
    </row>
    <row r="97" spans="1:16" x14ac:dyDescent="0.25">
      <c r="A97" s="6" t="s">
        <v>155</v>
      </c>
      <c r="B97" s="6" t="s">
        <v>17</v>
      </c>
      <c r="C97" s="9">
        <v>45367</v>
      </c>
      <c r="D97" s="6" t="s">
        <v>53</v>
      </c>
      <c r="E97" s="6" t="s">
        <v>56</v>
      </c>
      <c r="F97" s="7">
        <v>2895</v>
      </c>
      <c r="G97" s="7">
        <v>292</v>
      </c>
      <c r="H97" s="7">
        <v>90</v>
      </c>
      <c r="I97" s="7">
        <v>24223</v>
      </c>
      <c r="J97" s="28">
        <f>(Posts[[#This Row],[Likes]]+Posts[[#This Row],[Shares]]+Posts[[#This Row],[Comments]])/Posts[[#This Row],[Impressions]]</f>
        <v>0.13528464682326713</v>
      </c>
      <c r="K97" s="7">
        <v>54626</v>
      </c>
      <c r="L97" s="7">
        <v>114</v>
      </c>
      <c r="M97" s="6" t="s">
        <v>22</v>
      </c>
      <c r="N97" s="6" t="s">
        <v>18</v>
      </c>
      <c r="O97" s="6" t="s">
        <v>19</v>
      </c>
      <c r="P97" s="8">
        <f>SUM(Posts[[#This Row],[Likes]:[Comments]])</f>
        <v>3277</v>
      </c>
    </row>
    <row r="98" spans="1:16" x14ac:dyDescent="0.25">
      <c r="A98" s="6" t="s">
        <v>156</v>
      </c>
      <c r="B98" s="6" t="s">
        <v>11</v>
      </c>
      <c r="C98" s="9">
        <v>45317</v>
      </c>
      <c r="D98" s="6" t="s">
        <v>48</v>
      </c>
      <c r="E98" s="6" t="s">
        <v>60</v>
      </c>
      <c r="F98" s="7">
        <v>3878</v>
      </c>
      <c r="G98" s="7">
        <v>431</v>
      </c>
      <c r="H98" s="7">
        <v>97</v>
      </c>
      <c r="I98" s="7">
        <v>41763</v>
      </c>
      <c r="J98" s="28">
        <f>(Posts[[#This Row],[Likes]]+Posts[[#This Row],[Shares]]+Posts[[#This Row],[Comments]])/Posts[[#This Row],[Impressions]]</f>
        <v>0.10550008380623997</v>
      </c>
      <c r="K98" s="7">
        <v>29729</v>
      </c>
      <c r="L98" s="7">
        <v>191</v>
      </c>
      <c r="M98" s="6" t="s">
        <v>26</v>
      </c>
      <c r="N98" s="6"/>
      <c r="O98" s="6" t="s">
        <v>23</v>
      </c>
      <c r="P98" s="8">
        <f>SUM(Posts[[#This Row],[Likes]:[Comments]])</f>
        <v>4406</v>
      </c>
    </row>
    <row r="99" spans="1:16" x14ac:dyDescent="0.25">
      <c r="A99" s="6" t="s">
        <v>157</v>
      </c>
      <c r="B99" s="6" t="s">
        <v>17</v>
      </c>
      <c r="C99" s="9">
        <v>45366</v>
      </c>
      <c r="D99" s="6" t="s">
        <v>53</v>
      </c>
      <c r="E99" s="6" t="s">
        <v>62</v>
      </c>
      <c r="F99" s="7">
        <v>4969</v>
      </c>
      <c r="G99" s="7">
        <v>433</v>
      </c>
      <c r="H99" s="7">
        <v>237</v>
      </c>
      <c r="I99" s="7">
        <v>59552</v>
      </c>
      <c r="J99" s="28">
        <f>(Posts[[#This Row],[Likes]]+Posts[[#This Row],[Shares]]+Posts[[#This Row],[Comments]])/Posts[[#This Row],[Impressions]]</f>
        <v>9.4690354648038683E-2</v>
      </c>
      <c r="K99" s="7">
        <v>23885</v>
      </c>
      <c r="L99" s="7">
        <v>157</v>
      </c>
      <c r="M99" s="6" t="s">
        <v>26</v>
      </c>
      <c r="N99" s="6" t="s">
        <v>14</v>
      </c>
      <c r="O99" s="6" t="s">
        <v>19</v>
      </c>
      <c r="P99" s="8">
        <f>SUM(Posts[[#This Row],[Likes]:[Comments]])</f>
        <v>5639</v>
      </c>
    </row>
    <row r="100" spans="1:16" x14ac:dyDescent="0.25">
      <c r="A100" s="6" t="s">
        <v>158</v>
      </c>
      <c r="B100" s="6" t="s">
        <v>17</v>
      </c>
      <c r="C100" s="9">
        <v>45580</v>
      </c>
      <c r="D100" s="6" t="s">
        <v>48</v>
      </c>
      <c r="E100" s="6" t="s">
        <v>56</v>
      </c>
      <c r="F100" s="7">
        <v>1984</v>
      </c>
      <c r="G100" s="7">
        <v>481</v>
      </c>
      <c r="H100" s="7">
        <v>356</v>
      </c>
      <c r="I100" s="7">
        <v>40681</v>
      </c>
      <c r="J100" s="28">
        <f>(Posts[[#This Row],[Likes]]+Posts[[#This Row],[Shares]]+Posts[[#This Row],[Comments]])/Posts[[#This Row],[Impressions]]</f>
        <v>6.934441139598338E-2</v>
      </c>
      <c r="K100" s="7">
        <v>63111</v>
      </c>
      <c r="L100" s="7">
        <v>258</v>
      </c>
      <c r="M100" s="6" t="s">
        <v>18</v>
      </c>
      <c r="N100" s="6"/>
      <c r="O100" s="6" t="s">
        <v>19</v>
      </c>
      <c r="P100" s="8">
        <f>SUM(Posts[[#This Row],[Likes]:[Comments]])</f>
        <v>2821</v>
      </c>
    </row>
    <row r="101" spans="1:16" x14ac:dyDescent="0.25">
      <c r="A101" s="6" t="s">
        <v>159</v>
      </c>
      <c r="B101" s="6" t="s">
        <v>11</v>
      </c>
      <c r="C101" s="9">
        <v>45494</v>
      </c>
      <c r="D101" s="6" t="s">
        <v>48</v>
      </c>
      <c r="E101" s="6" t="s">
        <v>49</v>
      </c>
      <c r="F101" s="7">
        <v>3004</v>
      </c>
      <c r="G101" s="7">
        <v>415</v>
      </c>
      <c r="H101" s="7">
        <v>218</v>
      </c>
      <c r="I101" s="7">
        <v>36090</v>
      </c>
      <c r="J101" s="28">
        <f>(Posts[[#This Row],[Likes]]+Posts[[#This Row],[Shares]]+Posts[[#This Row],[Comments]])/Posts[[#This Row],[Impressions]]</f>
        <v>0.10077583818232197</v>
      </c>
      <c r="K101" s="7">
        <v>37073</v>
      </c>
      <c r="L101" s="7">
        <v>181</v>
      </c>
      <c r="M101" s="6" t="s">
        <v>26</v>
      </c>
      <c r="N101" s="6"/>
      <c r="O101" s="6" t="s">
        <v>23</v>
      </c>
      <c r="P101" s="8">
        <f>SUM(Posts[[#This Row],[Likes]:[Comments]])</f>
        <v>3637</v>
      </c>
    </row>
    <row r="102" spans="1:16" x14ac:dyDescent="0.25">
      <c r="A102" s="6" t="s">
        <v>160</v>
      </c>
      <c r="B102" s="6" t="s">
        <v>17</v>
      </c>
      <c r="C102" s="9">
        <v>45577</v>
      </c>
      <c r="D102" s="6" t="s">
        <v>48</v>
      </c>
      <c r="E102" s="6" t="s">
        <v>62</v>
      </c>
      <c r="F102" s="7">
        <v>3169</v>
      </c>
      <c r="G102" s="7">
        <v>386</v>
      </c>
      <c r="H102" s="7">
        <v>175</v>
      </c>
      <c r="I102" s="7">
        <v>45012</v>
      </c>
      <c r="J102" s="28">
        <f>(Posts[[#This Row],[Likes]]+Posts[[#This Row],[Shares]]+Posts[[#This Row],[Comments]])/Posts[[#This Row],[Impressions]]</f>
        <v>8.2866791077934779E-2</v>
      </c>
      <c r="K102" s="7">
        <v>38508</v>
      </c>
      <c r="L102" s="7">
        <v>218</v>
      </c>
      <c r="M102" s="6" t="s">
        <v>18</v>
      </c>
      <c r="N102" s="6"/>
      <c r="O102" s="6" t="s">
        <v>19</v>
      </c>
      <c r="P102" s="8">
        <f>SUM(Posts[[#This Row],[Likes]:[Comments]])</f>
        <v>3730</v>
      </c>
    </row>
    <row r="103" spans="1:16" x14ac:dyDescent="0.25">
      <c r="A103" s="6" t="s">
        <v>161</v>
      </c>
      <c r="B103" s="6" t="s">
        <v>17</v>
      </c>
      <c r="C103" s="9">
        <v>45591</v>
      </c>
      <c r="D103" s="6" t="s">
        <v>48</v>
      </c>
      <c r="E103" s="6" t="s">
        <v>49</v>
      </c>
      <c r="F103" s="7">
        <v>3036</v>
      </c>
      <c r="G103" s="7">
        <v>293</v>
      </c>
      <c r="H103" s="7">
        <v>115</v>
      </c>
      <c r="I103" s="7">
        <v>23776</v>
      </c>
      <c r="J103" s="28">
        <f>(Posts[[#This Row],[Likes]]+Posts[[#This Row],[Shares]]+Posts[[#This Row],[Comments]])/Posts[[#This Row],[Impressions]]</f>
        <v>0.14485195154777927</v>
      </c>
      <c r="K103" s="7">
        <v>46386</v>
      </c>
      <c r="L103" s="7">
        <v>282</v>
      </c>
      <c r="M103" s="6" t="s">
        <v>18</v>
      </c>
      <c r="N103" s="6"/>
      <c r="O103" s="6" t="s">
        <v>19</v>
      </c>
      <c r="P103" s="8">
        <f>SUM(Posts[[#This Row],[Likes]:[Comments]])</f>
        <v>3444</v>
      </c>
    </row>
    <row r="104" spans="1:16" x14ac:dyDescent="0.25">
      <c r="A104" s="6" t="s">
        <v>162</v>
      </c>
      <c r="B104" s="6" t="s">
        <v>11</v>
      </c>
      <c r="C104" s="9">
        <v>45336</v>
      </c>
      <c r="D104" s="6" t="s">
        <v>48</v>
      </c>
      <c r="E104" s="6" t="s">
        <v>58</v>
      </c>
      <c r="F104" s="7">
        <v>1830</v>
      </c>
      <c r="G104" s="7">
        <v>112</v>
      </c>
      <c r="H104" s="7">
        <v>181</v>
      </c>
      <c r="I104" s="7">
        <v>31870</v>
      </c>
      <c r="J104" s="28">
        <f>(Posts[[#This Row],[Likes]]+Posts[[#This Row],[Shares]]+Posts[[#This Row],[Comments]])/Posts[[#This Row],[Impressions]]</f>
        <v>6.6614370881706936E-2</v>
      </c>
      <c r="K104" s="7">
        <v>55742</v>
      </c>
      <c r="L104" s="7">
        <v>263</v>
      </c>
      <c r="M104" s="6" t="s">
        <v>22</v>
      </c>
      <c r="N104" s="6" t="s">
        <v>18</v>
      </c>
      <c r="O104" s="6" t="s">
        <v>19</v>
      </c>
      <c r="P104" s="8">
        <f>SUM(Posts[[#This Row],[Likes]:[Comments]])</f>
        <v>2123</v>
      </c>
    </row>
    <row r="105" spans="1:16" x14ac:dyDescent="0.25">
      <c r="A105" s="6" t="s">
        <v>163</v>
      </c>
      <c r="B105" s="6" t="s">
        <v>17</v>
      </c>
      <c r="C105" s="9">
        <v>45413</v>
      </c>
      <c r="D105" s="6" t="s">
        <v>53</v>
      </c>
      <c r="E105" s="6" t="s">
        <v>60</v>
      </c>
      <c r="F105" s="7">
        <v>2587</v>
      </c>
      <c r="G105" s="7">
        <v>447</v>
      </c>
      <c r="H105" s="7">
        <v>183</v>
      </c>
      <c r="I105" s="7">
        <v>36266</v>
      </c>
      <c r="J105" s="28">
        <f>(Posts[[#This Row],[Likes]]+Posts[[#This Row],[Shares]]+Posts[[#This Row],[Comments]])/Posts[[#This Row],[Impressions]]</f>
        <v>8.8705674736667947E-2</v>
      </c>
      <c r="K105" s="7">
        <v>32877</v>
      </c>
      <c r="L105" s="7">
        <v>132</v>
      </c>
      <c r="M105" s="6" t="s">
        <v>26</v>
      </c>
      <c r="N105" s="6" t="s">
        <v>14</v>
      </c>
      <c r="O105" s="6" t="s">
        <v>19</v>
      </c>
      <c r="P105" s="8">
        <f>SUM(Posts[[#This Row],[Likes]:[Comments]])</f>
        <v>3217</v>
      </c>
    </row>
    <row r="106" spans="1:16" x14ac:dyDescent="0.25">
      <c r="A106" s="6" t="s">
        <v>164</v>
      </c>
      <c r="B106" s="6" t="s">
        <v>17</v>
      </c>
      <c r="C106" s="9">
        <v>45553</v>
      </c>
      <c r="D106" s="6" t="s">
        <v>48</v>
      </c>
      <c r="E106" s="6" t="s">
        <v>49</v>
      </c>
      <c r="F106" s="7">
        <v>2878</v>
      </c>
      <c r="G106" s="7">
        <v>265</v>
      </c>
      <c r="H106" s="7">
        <v>91</v>
      </c>
      <c r="I106" s="7">
        <v>52090</v>
      </c>
      <c r="J106" s="28">
        <f>(Posts[[#This Row],[Likes]]+Posts[[#This Row],[Shares]]+Posts[[#This Row],[Comments]])/Posts[[#This Row],[Impressions]]</f>
        <v>6.2084853138798232E-2</v>
      </c>
      <c r="K106" s="7">
        <v>28924</v>
      </c>
      <c r="L106" s="7">
        <v>133</v>
      </c>
      <c r="M106" s="6" t="s">
        <v>18</v>
      </c>
      <c r="N106" s="6"/>
      <c r="O106" s="6" t="s">
        <v>19</v>
      </c>
      <c r="P106" s="8">
        <f>SUM(Posts[[#This Row],[Likes]:[Comments]])</f>
        <v>3234</v>
      </c>
    </row>
    <row r="107" spans="1:16" x14ac:dyDescent="0.25">
      <c r="A107" s="6" t="s">
        <v>165</v>
      </c>
      <c r="B107" s="6" t="s">
        <v>17</v>
      </c>
      <c r="C107" s="9">
        <v>45677</v>
      </c>
      <c r="D107" s="6" t="s">
        <v>53</v>
      </c>
      <c r="E107" s="6" t="s">
        <v>54</v>
      </c>
      <c r="F107" s="7">
        <v>4619</v>
      </c>
      <c r="G107" s="7">
        <v>272</v>
      </c>
      <c r="H107" s="7">
        <v>57</v>
      </c>
      <c r="I107" s="7">
        <v>21334</v>
      </c>
      <c r="J107" s="28">
        <f>(Posts[[#This Row],[Likes]]+Posts[[#This Row],[Shares]]+Posts[[#This Row],[Comments]])/Posts[[#This Row],[Impressions]]</f>
        <v>0.23193025217961938</v>
      </c>
      <c r="K107" s="7">
        <v>46292</v>
      </c>
      <c r="L107" s="7">
        <v>91</v>
      </c>
      <c r="M107" s="6" t="s">
        <v>22</v>
      </c>
      <c r="N107" s="6" t="s">
        <v>18</v>
      </c>
      <c r="O107" s="6" t="s">
        <v>19</v>
      </c>
      <c r="P107" s="8">
        <f>SUM(Posts[[#This Row],[Likes]:[Comments]])</f>
        <v>4948</v>
      </c>
    </row>
    <row r="108" spans="1:16" x14ac:dyDescent="0.25">
      <c r="A108" s="6" t="s">
        <v>166</v>
      </c>
      <c r="B108" s="6" t="s">
        <v>17</v>
      </c>
      <c r="C108" s="9">
        <v>45670</v>
      </c>
      <c r="D108" s="6" t="s">
        <v>48</v>
      </c>
      <c r="E108" s="6" t="s">
        <v>58</v>
      </c>
      <c r="F108" s="7">
        <v>4090</v>
      </c>
      <c r="G108" s="7">
        <v>209</v>
      </c>
      <c r="H108" s="7">
        <v>278</v>
      </c>
      <c r="I108" s="7">
        <v>52853</v>
      </c>
      <c r="J108" s="28">
        <f>(Posts[[#This Row],[Likes]]+Posts[[#This Row],[Shares]]+Posts[[#This Row],[Comments]])/Posts[[#This Row],[Impressions]]</f>
        <v>8.6598679355949518E-2</v>
      </c>
      <c r="K108" s="7">
        <v>57084</v>
      </c>
      <c r="L108" s="7">
        <v>102</v>
      </c>
      <c r="M108" s="6" t="s">
        <v>22</v>
      </c>
      <c r="N108" s="6"/>
      <c r="O108" s="6" t="s">
        <v>23</v>
      </c>
      <c r="P108" s="8">
        <f>SUM(Posts[[#This Row],[Likes]:[Comments]])</f>
        <v>4577</v>
      </c>
    </row>
    <row r="109" spans="1:16" x14ac:dyDescent="0.25">
      <c r="A109" s="6" t="s">
        <v>167</v>
      </c>
      <c r="B109" s="6" t="s">
        <v>12</v>
      </c>
      <c r="C109" s="9">
        <v>45542</v>
      </c>
      <c r="D109" s="6" t="s">
        <v>78</v>
      </c>
      <c r="E109" s="6" t="s">
        <v>58</v>
      </c>
      <c r="F109" s="7">
        <v>3882</v>
      </c>
      <c r="G109" s="7">
        <v>342</v>
      </c>
      <c r="H109" s="7">
        <v>374</v>
      </c>
      <c r="I109" s="7">
        <v>41991</v>
      </c>
      <c r="J109" s="28">
        <f>(Posts[[#This Row],[Likes]]+Posts[[#This Row],[Shares]]+Posts[[#This Row],[Comments]])/Posts[[#This Row],[Impressions]]</f>
        <v>0.10949965468790931</v>
      </c>
      <c r="K109" s="7">
        <v>48554</v>
      </c>
      <c r="L109" s="7">
        <v>118</v>
      </c>
      <c r="M109" s="6" t="s">
        <v>26</v>
      </c>
      <c r="N109" s="6" t="s">
        <v>22</v>
      </c>
      <c r="O109" s="6" t="s">
        <v>9</v>
      </c>
      <c r="P109" s="8">
        <f>SUM(Posts[[#This Row],[Likes]:[Comments]])</f>
        <v>4598</v>
      </c>
    </row>
    <row r="110" spans="1:16" x14ac:dyDescent="0.25">
      <c r="A110" s="6" t="s">
        <v>168</v>
      </c>
      <c r="B110" s="6" t="s">
        <v>11</v>
      </c>
      <c r="C110" s="9">
        <v>45617</v>
      </c>
      <c r="D110" s="6" t="s">
        <v>48</v>
      </c>
      <c r="E110" s="6" t="s">
        <v>58</v>
      </c>
      <c r="F110" s="7">
        <v>4581</v>
      </c>
      <c r="G110" s="7">
        <v>181</v>
      </c>
      <c r="H110" s="7">
        <v>112</v>
      </c>
      <c r="I110" s="7">
        <v>35221</v>
      </c>
      <c r="J110" s="28">
        <f>(Posts[[#This Row],[Likes]]+Posts[[#This Row],[Shares]]+Posts[[#This Row],[Comments]])/Posts[[#This Row],[Impressions]]</f>
        <v>0.13838335084182732</v>
      </c>
      <c r="K110" s="7">
        <v>28797</v>
      </c>
      <c r="L110" s="7">
        <v>164</v>
      </c>
      <c r="M110" s="6" t="s">
        <v>22</v>
      </c>
      <c r="N110" s="6" t="s">
        <v>18</v>
      </c>
      <c r="O110" s="6" t="s">
        <v>19</v>
      </c>
      <c r="P110" s="8">
        <f>SUM(Posts[[#This Row],[Likes]:[Comments]])</f>
        <v>4874</v>
      </c>
    </row>
    <row r="111" spans="1:16" x14ac:dyDescent="0.25">
      <c r="A111" s="6" t="s">
        <v>169</v>
      </c>
      <c r="B111" s="6" t="s">
        <v>11</v>
      </c>
      <c r="C111" s="9">
        <v>45469</v>
      </c>
      <c r="D111" s="6" t="s">
        <v>48</v>
      </c>
      <c r="E111" s="6" t="s">
        <v>54</v>
      </c>
      <c r="F111" s="7">
        <v>3253</v>
      </c>
      <c r="G111" s="7">
        <v>483</v>
      </c>
      <c r="H111" s="7">
        <v>336</v>
      </c>
      <c r="I111" s="7">
        <v>25397</v>
      </c>
      <c r="J111" s="28">
        <f>(Posts[[#This Row],[Likes]]+Posts[[#This Row],[Shares]]+Posts[[#This Row],[Comments]])/Posts[[#This Row],[Impressions]]</f>
        <v>0.16033389770445328</v>
      </c>
      <c r="K111" s="7">
        <v>51485</v>
      </c>
      <c r="L111" s="7">
        <v>131</v>
      </c>
      <c r="M111" s="6" t="s">
        <v>26</v>
      </c>
      <c r="N111" s="6"/>
      <c r="O111" s="6" t="s">
        <v>23</v>
      </c>
      <c r="P111" s="8">
        <f>SUM(Posts[[#This Row],[Likes]:[Comments]])</f>
        <v>4072</v>
      </c>
    </row>
    <row r="112" spans="1:16" x14ac:dyDescent="0.25">
      <c r="A112" s="6" t="s">
        <v>170</v>
      </c>
      <c r="B112" s="6" t="s">
        <v>12</v>
      </c>
      <c r="C112" s="9">
        <v>45493</v>
      </c>
      <c r="D112" s="6" t="s">
        <v>78</v>
      </c>
      <c r="E112" s="6" t="s">
        <v>58</v>
      </c>
      <c r="F112" s="7">
        <v>4955</v>
      </c>
      <c r="G112" s="7">
        <v>299</v>
      </c>
      <c r="H112" s="7">
        <v>345</v>
      </c>
      <c r="I112" s="7">
        <v>33644</v>
      </c>
      <c r="J112" s="28">
        <f>(Posts[[#This Row],[Likes]]+Posts[[#This Row],[Shares]]+Posts[[#This Row],[Comments]])/Posts[[#This Row],[Impressions]]</f>
        <v>0.16641897515158721</v>
      </c>
      <c r="K112" s="7">
        <v>43547</v>
      </c>
      <c r="L112" s="7">
        <v>194</v>
      </c>
      <c r="M112" s="6" t="s">
        <v>26</v>
      </c>
      <c r="N112" s="6" t="s">
        <v>22</v>
      </c>
      <c r="O112" s="6" t="s">
        <v>9</v>
      </c>
      <c r="P112" s="8">
        <f>SUM(Posts[[#This Row],[Likes]:[Comments]])</f>
        <v>5599</v>
      </c>
    </row>
    <row r="113" spans="1:16" x14ac:dyDescent="0.25">
      <c r="A113" s="6" t="s">
        <v>171</v>
      </c>
      <c r="B113" s="6" t="s">
        <v>11</v>
      </c>
      <c r="C113" s="9">
        <v>45704</v>
      </c>
      <c r="D113" s="6" t="s">
        <v>48</v>
      </c>
      <c r="E113" s="6" t="s">
        <v>73</v>
      </c>
      <c r="F113" s="7">
        <v>1333</v>
      </c>
      <c r="G113" s="7">
        <v>286</v>
      </c>
      <c r="H113" s="7">
        <v>298</v>
      </c>
      <c r="I113" s="7">
        <v>36174</v>
      </c>
      <c r="J113" s="28">
        <f>(Posts[[#This Row],[Likes]]+Posts[[#This Row],[Shares]]+Posts[[#This Row],[Comments]])/Posts[[#This Row],[Impressions]]</f>
        <v>5.2993862995521647E-2</v>
      </c>
      <c r="K113" s="7">
        <v>34517</v>
      </c>
      <c r="L113" s="7">
        <v>170</v>
      </c>
      <c r="M113" s="6" t="s">
        <v>22</v>
      </c>
      <c r="N113" s="6" t="s">
        <v>18</v>
      </c>
      <c r="O113" s="6" t="s">
        <v>19</v>
      </c>
      <c r="P113" s="8">
        <f>SUM(Posts[[#This Row],[Likes]:[Comments]])</f>
        <v>1917</v>
      </c>
    </row>
    <row r="114" spans="1:16" x14ac:dyDescent="0.25">
      <c r="A114" s="6" t="s">
        <v>172</v>
      </c>
      <c r="B114" s="6" t="s">
        <v>11</v>
      </c>
      <c r="C114" s="9">
        <v>45544</v>
      </c>
      <c r="D114" s="6" t="s">
        <v>48</v>
      </c>
      <c r="E114" s="6" t="s">
        <v>54</v>
      </c>
      <c r="F114" s="7">
        <v>1616</v>
      </c>
      <c r="G114" s="7">
        <v>360</v>
      </c>
      <c r="H114" s="7">
        <v>180</v>
      </c>
      <c r="I114" s="7">
        <v>54342</v>
      </c>
      <c r="J114" s="28">
        <f>(Posts[[#This Row],[Likes]]+Posts[[#This Row],[Shares]]+Posts[[#This Row],[Comments]])/Posts[[#This Row],[Impressions]]</f>
        <v>3.9674653122814763E-2</v>
      </c>
      <c r="K114" s="7">
        <v>18796</v>
      </c>
      <c r="L114" s="7">
        <v>282</v>
      </c>
      <c r="M114" s="6" t="s">
        <v>22</v>
      </c>
      <c r="N114" s="6" t="s">
        <v>18</v>
      </c>
      <c r="O114" s="6" t="s">
        <v>19</v>
      </c>
      <c r="P114" s="8">
        <f>SUM(Posts[[#This Row],[Likes]:[Comments]])</f>
        <v>2156</v>
      </c>
    </row>
    <row r="115" spans="1:16" x14ac:dyDescent="0.25">
      <c r="A115" s="6" t="s">
        <v>173</v>
      </c>
      <c r="B115" s="6" t="s">
        <v>17</v>
      </c>
      <c r="C115" s="9">
        <v>45489</v>
      </c>
      <c r="D115" s="6" t="s">
        <v>48</v>
      </c>
      <c r="E115" s="6" t="s">
        <v>65</v>
      </c>
      <c r="F115" s="7">
        <v>1803</v>
      </c>
      <c r="G115" s="7">
        <v>273</v>
      </c>
      <c r="H115" s="7">
        <v>287</v>
      </c>
      <c r="I115" s="7">
        <v>46176</v>
      </c>
      <c r="J115" s="28">
        <f>(Posts[[#This Row],[Likes]]+Posts[[#This Row],[Shares]]+Posts[[#This Row],[Comments]])/Posts[[#This Row],[Impressions]]</f>
        <v>5.1173769923769923E-2</v>
      </c>
      <c r="K115" s="7">
        <v>25488</v>
      </c>
      <c r="L115" s="7">
        <v>141</v>
      </c>
      <c r="M115" s="6" t="s">
        <v>18</v>
      </c>
      <c r="N115" s="6"/>
      <c r="O115" s="6" t="s">
        <v>19</v>
      </c>
      <c r="P115" s="8">
        <f>SUM(Posts[[#This Row],[Likes]:[Comments]])</f>
        <v>2363</v>
      </c>
    </row>
    <row r="116" spans="1:16" x14ac:dyDescent="0.25">
      <c r="A116" s="6" t="s">
        <v>174</v>
      </c>
      <c r="B116" s="6" t="s">
        <v>11</v>
      </c>
      <c r="C116" s="9">
        <v>45762</v>
      </c>
      <c r="D116" s="6" t="s">
        <v>48</v>
      </c>
      <c r="E116" s="6" t="s">
        <v>51</v>
      </c>
      <c r="F116" s="7">
        <v>4177</v>
      </c>
      <c r="G116" s="7">
        <v>489</v>
      </c>
      <c r="H116" s="7">
        <v>331</v>
      </c>
      <c r="I116" s="7">
        <v>57451</v>
      </c>
      <c r="J116" s="28">
        <f>(Posts[[#This Row],[Likes]]+Posts[[#This Row],[Shares]]+Posts[[#This Row],[Comments]])/Posts[[#This Row],[Impressions]]</f>
        <v>8.6978468608031198E-2</v>
      </c>
      <c r="K116" s="7">
        <v>73793</v>
      </c>
      <c r="L116" s="7">
        <v>251</v>
      </c>
      <c r="M116" s="6" t="s">
        <v>26</v>
      </c>
      <c r="N116" s="6"/>
      <c r="O116" s="6" t="s">
        <v>23</v>
      </c>
      <c r="P116" s="8">
        <f>SUM(Posts[[#This Row],[Likes]:[Comments]])</f>
        <v>4997</v>
      </c>
    </row>
    <row r="117" spans="1:16" x14ac:dyDescent="0.25">
      <c r="A117" s="6" t="s">
        <v>175</v>
      </c>
      <c r="B117" s="6" t="s">
        <v>11</v>
      </c>
      <c r="C117" s="9">
        <v>45781</v>
      </c>
      <c r="D117" s="6" t="s">
        <v>53</v>
      </c>
      <c r="E117" s="6" t="s">
        <v>54</v>
      </c>
      <c r="F117" s="7">
        <v>1311</v>
      </c>
      <c r="G117" s="7">
        <v>181</v>
      </c>
      <c r="H117" s="7">
        <v>361</v>
      </c>
      <c r="I117" s="7">
        <v>37148</v>
      </c>
      <c r="J117" s="28">
        <f>(Posts[[#This Row],[Likes]]+Posts[[#This Row],[Shares]]+Posts[[#This Row],[Comments]])/Posts[[#This Row],[Impressions]]</f>
        <v>4.9881554861634543E-2</v>
      </c>
      <c r="K117" s="7">
        <v>44875</v>
      </c>
      <c r="L117" s="7">
        <v>245</v>
      </c>
      <c r="M117" s="6" t="s">
        <v>18</v>
      </c>
      <c r="N117" s="6"/>
      <c r="O117" s="6" t="s">
        <v>15</v>
      </c>
      <c r="P117" s="8">
        <f>SUM(Posts[[#This Row],[Likes]:[Comments]])</f>
        <v>1853</v>
      </c>
    </row>
    <row r="118" spans="1:16" x14ac:dyDescent="0.25">
      <c r="A118" s="6" t="s">
        <v>176</v>
      </c>
      <c r="B118" s="6" t="s">
        <v>11</v>
      </c>
      <c r="C118" s="9">
        <v>45340</v>
      </c>
      <c r="D118" s="6" t="s">
        <v>53</v>
      </c>
      <c r="E118" s="6" t="s">
        <v>71</v>
      </c>
      <c r="F118" s="7">
        <v>1516</v>
      </c>
      <c r="G118" s="7">
        <v>215</v>
      </c>
      <c r="H118" s="7">
        <v>332</v>
      </c>
      <c r="I118" s="7">
        <v>58981</v>
      </c>
      <c r="J118" s="28">
        <f>(Posts[[#This Row],[Likes]]+Posts[[#This Row],[Shares]]+Posts[[#This Row],[Comments]])/Posts[[#This Row],[Impressions]]</f>
        <v>3.4977365592309385E-2</v>
      </c>
      <c r="K118" s="7">
        <v>36118</v>
      </c>
      <c r="L118" s="7">
        <v>211</v>
      </c>
      <c r="M118" s="6" t="s">
        <v>18</v>
      </c>
      <c r="N118" s="6"/>
      <c r="O118" s="6" t="s">
        <v>15</v>
      </c>
      <c r="P118" s="8">
        <f>SUM(Posts[[#This Row],[Likes]:[Comments]])</f>
        <v>2063</v>
      </c>
    </row>
    <row r="119" spans="1:16" x14ac:dyDescent="0.25">
      <c r="A119" s="6" t="s">
        <v>177</v>
      </c>
      <c r="B119" s="6" t="s">
        <v>17</v>
      </c>
      <c r="C119" s="9">
        <v>45428</v>
      </c>
      <c r="D119" s="6" t="s">
        <v>53</v>
      </c>
      <c r="E119" s="6" t="s">
        <v>58</v>
      </c>
      <c r="F119" s="7">
        <v>2023</v>
      </c>
      <c r="G119" s="7">
        <v>124</v>
      </c>
      <c r="H119" s="7">
        <v>99</v>
      </c>
      <c r="I119" s="7">
        <v>54524</v>
      </c>
      <c r="J119" s="28">
        <f>(Posts[[#This Row],[Likes]]+Posts[[#This Row],[Shares]]+Posts[[#This Row],[Comments]])/Posts[[#This Row],[Impressions]]</f>
        <v>4.1192869195216787E-2</v>
      </c>
      <c r="K119" s="7">
        <v>34790</v>
      </c>
      <c r="L119" s="7">
        <v>195</v>
      </c>
      <c r="M119" s="6" t="s">
        <v>26</v>
      </c>
      <c r="N119" s="6" t="s">
        <v>14</v>
      </c>
      <c r="O119" s="6" t="s">
        <v>19</v>
      </c>
      <c r="P119" s="8">
        <f>SUM(Posts[[#This Row],[Likes]:[Comments]])</f>
        <v>2246</v>
      </c>
    </row>
    <row r="120" spans="1:16" x14ac:dyDescent="0.25">
      <c r="A120" s="6" t="s">
        <v>178</v>
      </c>
      <c r="B120" s="6" t="s">
        <v>17</v>
      </c>
      <c r="C120" s="9">
        <v>45806</v>
      </c>
      <c r="D120" s="6" t="s">
        <v>53</v>
      </c>
      <c r="E120" s="6" t="s">
        <v>58</v>
      </c>
      <c r="F120" s="7">
        <v>2134</v>
      </c>
      <c r="G120" s="7">
        <v>322</v>
      </c>
      <c r="H120" s="7">
        <v>114</v>
      </c>
      <c r="I120" s="7">
        <v>44338</v>
      </c>
      <c r="J120" s="28">
        <f>(Posts[[#This Row],[Likes]]+Posts[[#This Row],[Shares]]+Posts[[#This Row],[Comments]])/Posts[[#This Row],[Impressions]]</f>
        <v>5.7963823356939871E-2</v>
      </c>
      <c r="K120" s="7">
        <v>52165</v>
      </c>
      <c r="L120" s="7">
        <v>176</v>
      </c>
      <c r="M120" s="6" t="s">
        <v>14</v>
      </c>
      <c r="N120" s="6" t="s">
        <v>18</v>
      </c>
      <c r="O120" s="6" t="s">
        <v>19</v>
      </c>
      <c r="P120" s="8">
        <f>SUM(Posts[[#This Row],[Likes]:[Comments]])</f>
        <v>2570</v>
      </c>
    </row>
    <row r="121" spans="1:16" x14ac:dyDescent="0.25">
      <c r="A121" s="6" t="s">
        <v>179</v>
      </c>
      <c r="B121" s="6" t="s">
        <v>11</v>
      </c>
      <c r="C121" s="9">
        <v>45674</v>
      </c>
      <c r="D121" s="6" t="s">
        <v>48</v>
      </c>
      <c r="E121" s="6" t="s">
        <v>65</v>
      </c>
      <c r="F121" s="7">
        <v>2266</v>
      </c>
      <c r="G121" s="7">
        <v>126</v>
      </c>
      <c r="H121" s="7">
        <v>140</v>
      </c>
      <c r="I121" s="7">
        <v>53759</v>
      </c>
      <c r="J121" s="28">
        <f>(Posts[[#This Row],[Likes]]+Posts[[#This Row],[Shares]]+Posts[[#This Row],[Comments]])/Posts[[#This Row],[Impressions]]</f>
        <v>4.7099090384865788E-2</v>
      </c>
      <c r="K121" s="7">
        <v>46834</v>
      </c>
      <c r="L121" s="7">
        <v>277</v>
      </c>
      <c r="M121" s="6" t="s">
        <v>26</v>
      </c>
      <c r="N121" s="6"/>
      <c r="O121" s="6" t="s">
        <v>23</v>
      </c>
      <c r="P121" s="8">
        <f>SUM(Posts[[#This Row],[Likes]:[Comments]])</f>
        <v>2532</v>
      </c>
    </row>
    <row r="122" spans="1:16" x14ac:dyDescent="0.25">
      <c r="A122" s="6" t="s">
        <v>180</v>
      </c>
      <c r="B122" s="6" t="s">
        <v>11</v>
      </c>
      <c r="C122" s="9">
        <v>45777</v>
      </c>
      <c r="D122" s="6" t="s">
        <v>53</v>
      </c>
      <c r="E122" s="6" t="s">
        <v>54</v>
      </c>
      <c r="F122" s="7">
        <v>3916</v>
      </c>
      <c r="G122" s="7">
        <v>459</v>
      </c>
      <c r="H122" s="7">
        <v>229</v>
      </c>
      <c r="I122" s="7">
        <v>48989</v>
      </c>
      <c r="J122" s="28">
        <f>(Posts[[#This Row],[Likes]]+Posts[[#This Row],[Shares]]+Posts[[#This Row],[Comments]])/Posts[[#This Row],[Impressions]]</f>
        <v>9.3980281287635997E-2</v>
      </c>
      <c r="K122" s="7">
        <v>39768</v>
      </c>
      <c r="L122" s="7">
        <v>200</v>
      </c>
      <c r="M122" s="6" t="s">
        <v>18</v>
      </c>
      <c r="N122" s="6"/>
      <c r="O122" s="6" t="s">
        <v>15</v>
      </c>
      <c r="P122" s="8">
        <f>SUM(Posts[[#This Row],[Likes]:[Comments]])</f>
        <v>4604</v>
      </c>
    </row>
    <row r="123" spans="1:16" x14ac:dyDescent="0.25">
      <c r="A123" s="6" t="s">
        <v>181</v>
      </c>
      <c r="B123" s="6" t="s">
        <v>17</v>
      </c>
      <c r="C123" s="9">
        <v>45346</v>
      </c>
      <c r="D123" s="6" t="s">
        <v>53</v>
      </c>
      <c r="E123" s="6" t="s">
        <v>58</v>
      </c>
      <c r="F123" s="7">
        <v>1022</v>
      </c>
      <c r="G123" s="7">
        <v>463</v>
      </c>
      <c r="H123" s="7">
        <v>360</v>
      </c>
      <c r="I123" s="7">
        <v>51468</v>
      </c>
      <c r="J123" s="28">
        <f>(Posts[[#This Row],[Likes]]+Posts[[#This Row],[Shares]]+Posts[[#This Row],[Comments]])/Posts[[#This Row],[Impressions]]</f>
        <v>3.5847516903707161E-2</v>
      </c>
      <c r="K123" s="7">
        <v>24279</v>
      </c>
      <c r="L123" s="7">
        <v>230</v>
      </c>
      <c r="M123" s="6" t="s">
        <v>26</v>
      </c>
      <c r="N123" s="6" t="s">
        <v>14</v>
      </c>
      <c r="O123" s="6" t="s">
        <v>19</v>
      </c>
      <c r="P123" s="8">
        <f>SUM(Posts[[#This Row],[Likes]:[Comments]])</f>
        <v>1845</v>
      </c>
    </row>
    <row r="124" spans="1:16" x14ac:dyDescent="0.25">
      <c r="A124" s="6" t="s">
        <v>182</v>
      </c>
      <c r="B124" s="6" t="s">
        <v>12</v>
      </c>
      <c r="C124" s="9">
        <v>45424</v>
      </c>
      <c r="D124" s="6" t="s">
        <v>48</v>
      </c>
      <c r="E124" s="6" t="s">
        <v>71</v>
      </c>
      <c r="F124" s="7">
        <v>2911</v>
      </c>
      <c r="G124" s="7">
        <v>467</v>
      </c>
      <c r="H124" s="7">
        <v>94</v>
      </c>
      <c r="I124" s="7">
        <v>59083</v>
      </c>
      <c r="J124" s="28">
        <f>(Posts[[#This Row],[Likes]]+Posts[[#This Row],[Shares]]+Posts[[#This Row],[Comments]])/Posts[[#This Row],[Impressions]]</f>
        <v>5.8764788517847777E-2</v>
      </c>
      <c r="K124" s="7">
        <v>49762</v>
      </c>
      <c r="L124" s="7">
        <v>236</v>
      </c>
      <c r="M124" s="6" t="s">
        <v>26</v>
      </c>
      <c r="N124" s="6" t="s">
        <v>13</v>
      </c>
      <c r="O124" s="6" t="s">
        <v>23</v>
      </c>
      <c r="P124" s="8">
        <f>SUM(Posts[[#This Row],[Likes]:[Comments]])</f>
        <v>3472</v>
      </c>
    </row>
    <row r="125" spans="1:16" x14ac:dyDescent="0.25">
      <c r="A125" s="6" t="s">
        <v>183</v>
      </c>
      <c r="B125" s="6" t="s">
        <v>17</v>
      </c>
      <c r="C125" s="9">
        <v>45421</v>
      </c>
      <c r="D125" s="6" t="s">
        <v>53</v>
      </c>
      <c r="E125" s="6" t="s">
        <v>54</v>
      </c>
      <c r="F125" s="7">
        <v>3277</v>
      </c>
      <c r="G125" s="7">
        <v>423</v>
      </c>
      <c r="H125" s="7">
        <v>259</v>
      </c>
      <c r="I125" s="7">
        <v>46328</v>
      </c>
      <c r="J125" s="28">
        <f>(Posts[[#This Row],[Likes]]+Posts[[#This Row],[Shares]]+Posts[[#This Row],[Comments]])/Posts[[#This Row],[Impressions]]</f>
        <v>8.5455879813503707E-2</v>
      </c>
      <c r="K125" s="7">
        <v>44293</v>
      </c>
      <c r="L125" s="7">
        <v>299</v>
      </c>
      <c r="M125" s="6" t="s">
        <v>22</v>
      </c>
      <c r="N125" s="6" t="s">
        <v>18</v>
      </c>
      <c r="O125" s="6" t="s">
        <v>19</v>
      </c>
      <c r="P125" s="8">
        <f>SUM(Posts[[#This Row],[Likes]:[Comments]])</f>
        <v>3959</v>
      </c>
    </row>
    <row r="126" spans="1:16" x14ac:dyDescent="0.25">
      <c r="A126" s="6" t="s">
        <v>184</v>
      </c>
      <c r="B126" s="6" t="s">
        <v>17</v>
      </c>
      <c r="C126" s="9">
        <v>45602</v>
      </c>
      <c r="D126" s="6" t="s">
        <v>48</v>
      </c>
      <c r="E126" s="6" t="s">
        <v>71</v>
      </c>
      <c r="F126" s="7">
        <v>2956</v>
      </c>
      <c r="G126" s="7">
        <v>381</v>
      </c>
      <c r="H126" s="7">
        <v>345</v>
      </c>
      <c r="I126" s="7">
        <v>33347</v>
      </c>
      <c r="J126" s="28">
        <f>(Posts[[#This Row],[Likes]]+Posts[[#This Row],[Shares]]+Posts[[#This Row],[Comments]])/Posts[[#This Row],[Impressions]]</f>
        <v>0.11041472996071611</v>
      </c>
      <c r="K126" s="7">
        <v>22558</v>
      </c>
      <c r="L126" s="7">
        <v>173</v>
      </c>
      <c r="M126" s="6" t="s">
        <v>18</v>
      </c>
      <c r="N126" s="6"/>
      <c r="O126" s="6" t="s">
        <v>19</v>
      </c>
      <c r="P126" s="8">
        <f>SUM(Posts[[#This Row],[Likes]:[Comments]])</f>
        <v>3682</v>
      </c>
    </row>
    <row r="127" spans="1:16" x14ac:dyDescent="0.25">
      <c r="A127" s="6" t="s">
        <v>185</v>
      </c>
      <c r="B127" s="6" t="s">
        <v>17</v>
      </c>
      <c r="C127" s="9">
        <v>45295</v>
      </c>
      <c r="D127" s="6" t="s">
        <v>53</v>
      </c>
      <c r="E127" s="6" t="s">
        <v>60</v>
      </c>
      <c r="F127" s="7">
        <v>3208</v>
      </c>
      <c r="G127" s="7">
        <v>476</v>
      </c>
      <c r="H127" s="7">
        <v>277</v>
      </c>
      <c r="I127" s="7">
        <v>56072</v>
      </c>
      <c r="J127" s="28">
        <f>(Posts[[#This Row],[Likes]]+Posts[[#This Row],[Shares]]+Posts[[#This Row],[Comments]])/Posts[[#This Row],[Impressions]]</f>
        <v>7.064131830503638E-2</v>
      </c>
      <c r="K127" s="7">
        <v>21061</v>
      </c>
      <c r="L127" s="7">
        <v>113</v>
      </c>
      <c r="M127" s="6" t="s">
        <v>14</v>
      </c>
      <c r="N127" s="6" t="s">
        <v>18</v>
      </c>
      <c r="O127" s="6" t="s">
        <v>19</v>
      </c>
      <c r="P127" s="8">
        <f>SUM(Posts[[#This Row],[Likes]:[Comments]])</f>
        <v>3961</v>
      </c>
    </row>
    <row r="128" spans="1:16" x14ac:dyDescent="0.25">
      <c r="A128" s="6" t="s">
        <v>186</v>
      </c>
      <c r="B128" s="6" t="s">
        <v>17</v>
      </c>
      <c r="C128" s="9">
        <v>45319</v>
      </c>
      <c r="D128" s="6" t="s">
        <v>48</v>
      </c>
      <c r="E128" s="6" t="s">
        <v>58</v>
      </c>
      <c r="F128" s="7">
        <v>1456</v>
      </c>
      <c r="G128" s="7">
        <v>265</v>
      </c>
      <c r="H128" s="7">
        <v>137</v>
      </c>
      <c r="I128" s="7">
        <v>53485</v>
      </c>
      <c r="J128" s="28">
        <f>(Posts[[#This Row],[Likes]]+Posts[[#This Row],[Shares]]+Posts[[#This Row],[Comments]])/Posts[[#This Row],[Impressions]]</f>
        <v>3.4738711788351875E-2</v>
      </c>
      <c r="K128" s="7">
        <v>59729</v>
      </c>
      <c r="L128" s="7">
        <v>145</v>
      </c>
      <c r="M128" s="6" t="s">
        <v>22</v>
      </c>
      <c r="N128" s="6"/>
      <c r="O128" s="6" t="s">
        <v>23</v>
      </c>
      <c r="P128" s="8">
        <f>SUM(Posts[[#This Row],[Likes]:[Comments]])</f>
        <v>1858</v>
      </c>
    </row>
    <row r="129" spans="1:16" x14ac:dyDescent="0.25">
      <c r="A129" s="6" t="s">
        <v>187</v>
      </c>
      <c r="B129" s="6" t="s">
        <v>11</v>
      </c>
      <c r="C129" s="9">
        <v>45344</v>
      </c>
      <c r="D129" s="6" t="s">
        <v>48</v>
      </c>
      <c r="E129" s="6" t="s">
        <v>54</v>
      </c>
      <c r="F129" s="7">
        <v>1902</v>
      </c>
      <c r="G129" s="7">
        <v>394</v>
      </c>
      <c r="H129" s="7">
        <v>279</v>
      </c>
      <c r="I129" s="7">
        <v>24615</v>
      </c>
      <c r="J129" s="28">
        <f>(Posts[[#This Row],[Likes]]+Posts[[#This Row],[Shares]]+Posts[[#This Row],[Comments]])/Posts[[#This Row],[Impressions]]</f>
        <v>0.10461100954702417</v>
      </c>
      <c r="K129" s="7">
        <v>51330</v>
      </c>
      <c r="L129" s="7">
        <v>176</v>
      </c>
      <c r="M129" s="6" t="s">
        <v>22</v>
      </c>
      <c r="N129" s="6" t="s">
        <v>18</v>
      </c>
      <c r="O129" s="6" t="s">
        <v>19</v>
      </c>
      <c r="P129" s="8">
        <f>SUM(Posts[[#This Row],[Likes]:[Comments]])</f>
        <v>2575</v>
      </c>
    </row>
    <row r="130" spans="1:16" x14ac:dyDescent="0.25">
      <c r="A130" s="6" t="s">
        <v>188</v>
      </c>
      <c r="B130" s="6" t="s">
        <v>17</v>
      </c>
      <c r="C130" s="9">
        <v>45839</v>
      </c>
      <c r="D130" s="6" t="s">
        <v>53</v>
      </c>
      <c r="E130" s="6" t="s">
        <v>51</v>
      </c>
      <c r="F130" s="7">
        <v>3219</v>
      </c>
      <c r="G130" s="7">
        <v>424</v>
      </c>
      <c r="H130" s="7">
        <v>267</v>
      </c>
      <c r="I130" s="7">
        <v>48879</v>
      </c>
      <c r="J130" s="28">
        <f>(Posts[[#This Row],[Likes]]+Posts[[#This Row],[Shares]]+Posts[[#This Row],[Comments]])/Posts[[#This Row],[Impressions]]</f>
        <v>7.9993453221219743E-2</v>
      </c>
      <c r="K130" s="7">
        <v>37691</v>
      </c>
      <c r="L130" s="7">
        <v>224</v>
      </c>
      <c r="M130" s="6" t="s">
        <v>26</v>
      </c>
      <c r="N130" s="6" t="s">
        <v>14</v>
      </c>
      <c r="O130" s="6" t="s">
        <v>19</v>
      </c>
      <c r="P130" s="8">
        <f>SUM(Posts[[#This Row],[Likes]:[Comments]])</f>
        <v>3910</v>
      </c>
    </row>
    <row r="131" spans="1:16" x14ac:dyDescent="0.25">
      <c r="A131" s="6" t="s">
        <v>189</v>
      </c>
      <c r="B131" s="6" t="s">
        <v>12</v>
      </c>
      <c r="C131" s="9">
        <v>45301</v>
      </c>
      <c r="D131" s="6" t="s">
        <v>48</v>
      </c>
      <c r="E131" s="6" t="s">
        <v>51</v>
      </c>
      <c r="F131" s="7">
        <v>1261</v>
      </c>
      <c r="G131" s="7">
        <v>190</v>
      </c>
      <c r="H131" s="7">
        <v>233</v>
      </c>
      <c r="I131" s="7">
        <v>59888</v>
      </c>
      <c r="J131" s="28">
        <f>(Posts[[#This Row],[Likes]]+Posts[[#This Row],[Shares]]+Posts[[#This Row],[Comments]])/Posts[[#This Row],[Impressions]]</f>
        <v>2.811915575741384E-2</v>
      </c>
      <c r="K131" s="7">
        <v>51449</v>
      </c>
      <c r="L131" s="7">
        <v>205</v>
      </c>
      <c r="M131" s="6" t="s">
        <v>26</v>
      </c>
      <c r="N131" s="6" t="s">
        <v>13</v>
      </c>
      <c r="O131" s="6" t="s">
        <v>23</v>
      </c>
      <c r="P131" s="8">
        <f>SUM(Posts[[#This Row],[Likes]:[Comments]])</f>
        <v>1684</v>
      </c>
    </row>
    <row r="132" spans="1:16" x14ac:dyDescent="0.25">
      <c r="A132" s="6" t="s">
        <v>190</v>
      </c>
      <c r="B132" s="6" t="s">
        <v>17</v>
      </c>
      <c r="C132" s="9">
        <v>45736</v>
      </c>
      <c r="D132" s="6" t="s">
        <v>48</v>
      </c>
      <c r="E132" s="6" t="s">
        <v>73</v>
      </c>
      <c r="F132" s="7">
        <v>1564</v>
      </c>
      <c r="G132" s="7">
        <v>362</v>
      </c>
      <c r="H132" s="7">
        <v>371</v>
      </c>
      <c r="I132" s="7">
        <v>42075</v>
      </c>
      <c r="J132" s="28">
        <f>(Posts[[#This Row],[Likes]]+Posts[[#This Row],[Shares]]+Posts[[#This Row],[Comments]])/Posts[[#This Row],[Impressions]]</f>
        <v>5.4592988710635768E-2</v>
      </c>
      <c r="K132" s="7">
        <v>66659</v>
      </c>
      <c r="L132" s="7">
        <v>205</v>
      </c>
      <c r="M132" s="6" t="s">
        <v>22</v>
      </c>
      <c r="N132" s="6"/>
      <c r="O132" s="6" t="s">
        <v>23</v>
      </c>
      <c r="P132" s="8">
        <f>SUM(Posts[[#This Row],[Likes]:[Comments]])</f>
        <v>2297</v>
      </c>
    </row>
    <row r="133" spans="1:16" x14ac:dyDescent="0.25">
      <c r="A133" s="6" t="s">
        <v>191</v>
      </c>
      <c r="B133" s="6" t="s">
        <v>17</v>
      </c>
      <c r="C133" s="9">
        <v>45563</v>
      </c>
      <c r="D133" s="6" t="s">
        <v>48</v>
      </c>
      <c r="E133" s="6" t="s">
        <v>60</v>
      </c>
      <c r="F133" s="7">
        <v>4006</v>
      </c>
      <c r="G133" s="7">
        <v>420</v>
      </c>
      <c r="H133" s="7">
        <v>194</v>
      </c>
      <c r="I133" s="7">
        <v>49964</v>
      </c>
      <c r="J133" s="28">
        <f>(Posts[[#This Row],[Likes]]+Posts[[#This Row],[Shares]]+Posts[[#This Row],[Comments]])/Posts[[#This Row],[Impressions]]</f>
        <v>9.2466575934672959E-2</v>
      </c>
      <c r="K133" s="7">
        <v>20685</v>
      </c>
      <c r="L133" s="7">
        <v>148</v>
      </c>
      <c r="M133" s="6" t="s">
        <v>18</v>
      </c>
      <c r="N133" s="6"/>
      <c r="O133" s="6" t="s">
        <v>19</v>
      </c>
      <c r="P133" s="8">
        <f>SUM(Posts[[#This Row],[Likes]:[Comments]])</f>
        <v>4620</v>
      </c>
    </row>
    <row r="134" spans="1:16" x14ac:dyDescent="0.25">
      <c r="A134" s="6" t="s">
        <v>192</v>
      </c>
      <c r="B134" s="6" t="s">
        <v>12</v>
      </c>
      <c r="C134" s="9">
        <v>45318</v>
      </c>
      <c r="D134" s="6" t="s">
        <v>48</v>
      </c>
      <c r="E134" s="6" t="s">
        <v>73</v>
      </c>
      <c r="F134" s="7">
        <v>1976</v>
      </c>
      <c r="G134" s="7">
        <v>262</v>
      </c>
      <c r="H134" s="7">
        <v>218</v>
      </c>
      <c r="I134" s="7">
        <v>51696</v>
      </c>
      <c r="J134" s="28">
        <f>(Posts[[#This Row],[Likes]]+Posts[[#This Row],[Shares]]+Posts[[#This Row],[Comments]])/Posts[[#This Row],[Impressions]]</f>
        <v>4.7508511296812134E-2</v>
      </c>
      <c r="K134" s="7">
        <v>44846</v>
      </c>
      <c r="L134" s="7">
        <v>139</v>
      </c>
      <c r="M134" s="6" t="s">
        <v>26</v>
      </c>
      <c r="N134" s="6" t="s">
        <v>13</v>
      </c>
      <c r="O134" s="6" t="s">
        <v>23</v>
      </c>
      <c r="P134" s="8">
        <f>SUM(Posts[[#This Row],[Likes]:[Comments]])</f>
        <v>2456</v>
      </c>
    </row>
    <row r="135" spans="1:16" x14ac:dyDescent="0.25">
      <c r="A135" s="6" t="s">
        <v>193</v>
      </c>
      <c r="B135" s="6" t="s">
        <v>17</v>
      </c>
      <c r="C135" s="9">
        <v>45792</v>
      </c>
      <c r="D135" s="6" t="s">
        <v>48</v>
      </c>
      <c r="E135" s="6" t="s">
        <v>54</v>
      </c>
      <c r="F135" s="7">
        <v>1583</v>
      </c>
      <c r="G135" s="7">
        <v>433</v>
      </c>
      <c r="H135" s="7">
        <v>249</v>
      </c>
      <c r="I135" s="7">
        <v>30256</v>
      </c>
      <c r="J135" s="28">
        <f>(Posts[[#This Row],[Likes]]+Posts[[#This Row],[Shares]]+Posts[[#This Row],[Comments]])/Posts[[#This Row],[Impressions]]</f>
        <v>7.4861184558434685E-2</v>
      </c>
      <c r="K135" s="7">
        <v>47066</v>
      </c>
      <c r="L135" s="7">
        <v>196</v>
      </c>
      <c r="M135" s="6" t="s">
        <v>18</v>
      </c>
      <c r="N135" s="6"/>
      <c r="O135" s="6" t="s">
        <v>19</v>
      </c>
      <c r="P135" s="8">
        <f>SUM(Posts[[#This Row],[Likes]:[Comments]])</f>
        <v>2265</v>
      </c>
    </row>
    <row r="136" spans="1:16" x14ac:dyDescent="0.25">
      <c r="A136" s="6" t="s">
        <v>194</v>
      </c>
      <c r="B136" s="6" t="s">
        <v>17</v>
      </c>
      <c r="C136" s="9">
        <v>45569</v>
      </c>
      <c r="D136" s="6" t="s">
        <v>53</v>
      </c>
      <c r="E136" s="6" t="s">
        <v>51</v>
      </c>
      <c r="F136" s="7">
        <v>2870</v>
      </c>
      <c r="G136" s="7">
        <v>380</v>
      </c>
      <c r="H136" s="7">
        <v>393</v>
      </c>
      <c r="I136" s="7">
        <v>37621</v>
      </c>
      <c r="J136" s="28">
        <f>(Posts[[#This Row],[Likes]]+Posts[[#This Row],[Shares]]+Posts[[#This Row],[Comments]])/Posts[[#This Row],[Impressions]]</f>
        <v>9.6834214933149046E-2</v>
      </c>
      <c r="K136" s="7">
        <v>71794</v>
      </c>
      <c r="L136" s="7">
        <v>127</v>
      </c>
      <c r="M136" s="6" t="s">
        <v>14</v>
      </c>
      <c r="N136" s="6" t="s">
        <v>18</v>
      </c>
      <c r="O136" s="6" t="s">
        <v>19</v>
      </c>
      <c r="P136" s="8">
        <f>SUM(Posts[[#This Row],[Likes]:[Comments]])</f>
        <v>3643</v>
      </c>
    </row>
    <row r="137" spans="1:16" x14ac:dyDescent="0.25">
      <c r="A137" s="6" t="s">
        <v>195</v>
      </c>
      <c r="B137" s="6" t="s">
        <v>17</v>
      </c>
      <c r="C137" s="9">
        <v>45615</v>
      </c>
      <c r="D137" s="6" t="s">
        <v>48</v>
      </c>
      <c r="E137" s="6" t="s">
        <v>65</v>
      </c>
      <c r="F137" s="7">
        <v>3728</v>
      </c>
      <c r="G137" s="7">
        <v>271</v>
      </c>
      <c r="H137" s="7">
        <v>275</v>
      </c>
      <c r="I137" s="7">
        <v>22827</v>
      </c>
      <c r="J137" s="28">
        <f>(Posts[[#This Row],[Likes]]+Posts[[#This Row],[Shares]]+Posts[[#This Row],[Comments]])/Posts[[#This Row],[Impressions]]</f>
        <v>0.18723441538528934</v>
      </c>
      <c r="K137" s="7">
        <v>37034</v>
      </c>
      <c r="L137" s="7">
        <v>199</v>
      </c>
      <c r="M137" s="6" t="s">
        <v>18</v>
      </c>
      <c r="N137" s="6"/>
      <c r="O137" s="6" t="s">
        <v>19</v>
      </c>
      <c r="P137" s="8">
        <f>SUM(Posts[[#This Row],[Likes]:[Comments]])</f>
        <v>4274</v>
      </c>
    </row>
    <row r="138" spans="1:16" x14ac:dyDescent="0.25">
      <c r="A138" s="6" t="s">
        <v>196</v>
      </c>
      <c r="B138" s="6" t="s">
        <v>17</v>
      </c>
      <c r="C138" s="9">
        <v>45387</v>
      </c>
      <c r="D138" s="6" t="s">
        <v>53</v>
      </c>
      <c r="E138" s="6" t="s">
        <v>54</v>
      </c>
      <c r="F138" s="7">
        <v>4965</v>
      </c>
      <c r="G138" s="7">
        <v>175</v>
      </c>
      <c r="H138" s="7">
        <v>307</v>
      </c>
      <c r="I138" s="7">
        <v>32793</v>
      </c>
      <c r="J138" s="28">
        <f>(Posts[[#This Row],[Likes]]+Posts[[#This Row],[Shares]]+Posts[[#This Row],[Comments]])/Posts[[#This Row],[Impressions]]</f>
        <v>0.16610252187966945</v>
      </c>
      <c r="K138" s="7">
        <v>43412</v>
      </c>
      <c r="L138" s="7">
        <v>296</v>
      </c>
      <c r="M138" s="6" t="s">
        <v>22</v>
      </c>
      <c r="N138" s="6" t="s">
        <v>18</v>
      </c>
      <c r="O138" s="6" t="s">
        <v>19</v>
      </c>
      <c r="P138" s="8">
        <f>SUM(Posts[[#This Row],[Likes]:[Comments]])</f>
        <v>5447</v>
      </c>
    </row>
    <row r="139" spans="1:16" x14ac:dyDescent="0.25">
      <c r="A139" s="6" t="s">
        <v>197</v>
      </c>
      <c r="B139" s="6" t="s">
        <v>17</v>
      </c>
      <c r="C139" s="9">
        <v>45624</v>
      </c>
      <c r="D139" s="6" t="s">
        <v>53</v>
      </c>
      <c r="E139" s="6" t="s">
        <v>54</v>
      </c>
      <c r="F139" s="7">
        <v>1131</v>
      </c>
      <c r="G139" s="7">
        <v>100</v>
      </c>
      <c r="H139" s="7">
        <v>116</v>
      </c>
      <c r="I139" s="7">
        <v>48437</v>
      </c>
      <c r="J139" s="28">
        <f>(Posts[[#This Row],[Likes]]+Posts[[#This Row],[Shares]]+Posts[[#This Row],[Comments]])/Posts[[#This Row],[Impressions]]</f>
        <v>2.7809319322005904E-2</v>
      </c>
      <c r="K139" s="7">
        <v>72704</v>
      </c>
      <c r="L139" s="7">
        <v>236</v>
      </c>
      <c r="M139" s="6" t="s">
        <v>26</v>
      </c>
      <c r="N139" s="6" t="s">
        <v>14</v>
      </c>
      <c r="O139" s="6" t="s">
        <v>19</v>
      </c>
      <c r="P139" s="8">
        <f>SUM(Posts[[#This Row],[Likes]:[Comments]])</f>
        <v>1347</v>
      </c>
    </row>
    <row r="140" spans="1:16" x14ac:dyDescent="0.25">
      <c r="A140" s="6" t="s">
        <v>198</v>
      </c>
      <c r="B140" s="6" t="s">
        <v>17</v>
      </c>
      <c r="C140" s="9">
        <v>45725</v>
      </c>
      <c r="D140" s="6" t="s">
        <v>48</v>
      </c>
      <c r="E140" s="6" t="s">
        <v>73</v>
      </c>
      <c r="F140" s="7">
        <v>2754</v>
      </c>
      <c r="G140" s="7">
        <v>215</v>
      </c>
      <c r="H140" s="7">
        <v>264</v>
      </c>
      <c r="I140" s="7">
        <v>27762</v>
      </c>
      <c r="J140" s="28">
        <f>(Posts[[#This Row],[Likes]]+Posts[[#This Row],[Shares]]+Posts[[#This Row],[Comments]])/Posts[[#This Row],[Impressions]]</f>
        <v>0.11645414595490239</v>
      </c>
      <c r="K140" s="7">
        <v>70203</v>
      </c>
      <c r="L140" s="7">
        <v>289</v>
      </c>
      <c r="M140" s="6" t="s">
        <v>18</v>
      </c>
      <c r="N140" s="6"/>
      <c r="O140" s="6" t="s">
        <v>19</v>
      </c>
      <c r="P140" s="8">
        <f>SUM(Posts[[#This Row],[Likes]:[Comments]])</f>
        <v>3233</v>
      </c>
    </row>
    <row r="141" spans="1:16" x14ac:dyDescent="0.25">
      <c r="A141" s="6" t="s">
        <v>199</v>
      </c>
      <c r="B141" s="6" t="s">
        <v>17</v>
      </c>
      <c r="C141" s="9">
        <v>45531</v>
      </c>
      <c r="D141" s="6" t="s">
        <v>53</v>
      </c>
      <c r="E141" s="6" t="s">
        <v>54</v>
      </c>
      <c r="F141" s="7">
        <v>1856</v>
      </c>
      <c r="G141" s="7">
        <v>357</v>
      </c>
      <c r="H141" s="7">
        <v>348</v>
      </c>
      <c r="I141" s="7">
        <v>29428</v>
      </c>
      <c r="J141" s="28">
        <f>(Posts[[#This Row],[Likes]]+Posts[[#This Row],[Shares]]+Posts[[#This Row],[Comments]])/Posts[[#This Row],[Impressions]]</f>
        <v>8.702596166915863E-2</v>
      </c>
      <c r="K141" s="7">
        <v>70206</v>
      </c>
      <c r="L141" s="7">
        <v>236</v>
      </c>
      <c r="M141" s="6" t="s">
        <v>14</v>
      </c>
      <c r="N141" s="6" t="s">
        <v>18</v>
      </c>
      <c r="O141" s="6" t="s">
        <v>19</v>
      </c>
      <c r="P141" s="8">
        <f>SUM(Posts[[#This Row],[Likes]:[Comments]])</f>
        <v>2561</v>
      </c>
    </row>
    <row r="142" spans="1:16" x14ac:dyDescent="0.25">
      <c r="A142" s="6" t="s">
        <v>200</v>
      </c>
      <c r="B142" s="6" t="s">
        <v>12</v>
      </c>
      <c r="C142" s="9">
        <v>45566</v>
      </c>
      <c r="D142" s="6" t="s">
        <v>78</v>
      </c>
      <c r="E142" s="6" t="s">
        <v>51</v>
      </c>
      <c r="F142" s="7">
        <v>3543</v>
      </c>
      <c r="G142" s="7">
        <v>334</v>
      </c>
      <c r="H142" s="7">
        <v>218</v>
      </c>
      <c r="I142" s="7">
        <v>58007</v>
      </c>
      <c r="J142" s="28">
        <f>(Posts[[#This Row],[Likes]]+Posts[[#This Row],[Shares]]+Posts[[#This Row],[Comments]])/Posts[[#This Row],[Impressions]]</f>
        <v>7.0594928198320889E-2</v>
      </c>
      <c r="K142" s="7">
        <v>24792</v>
      </c>
      <c r="L142" s="7">
        <v>273</v>
      </c>
      <c r="M142" s="6" t="s">
        <v>26</v>
      </c>
      <c r="N142" s="6" t="s">
        <v>22</v>
      </c>
      <c r="O142" s="6" t="s">
        <v>9</v>
      </c>
      <c r="P142" s="8">
        <f>SUM(Posts[[#This Row],[Likes]:[Comments]])</f>
        <v>4095</v>
      </c>
    </row>
    <row r="143" spans="1:16" x14ac:dyDescent="0.25">
      <c r="A143" s="6" t="s">
        <v>201</v>
      </c>
      <c r="B143" s="6" t="s">
        <v>11</v>
      </c>
      <c r="C143" s="9">
        <v>45647</v>
      </c>
      <c r="D143" s="6" t="s">
        <v>53</v>
      </c>
      <c r="E143" s="6" t="s">
        <v>54</v>
      </c>
      <c r="F143" s="7">
        <v>4563</v>
      </c>
      <c r="G143" s="7">
        <v>398</v>
      </c>
      <c r="H143" s="7">
        <v>163</v>
      </c>
      <c r="I143" s="7">
        <v>43679</v>
      </c>
      <c r="J143" s="28">
        <f>(Posts[[#This Row],[Likes]]+Posts[[#This Row],[Shares]]+Posts[[#This Row],[Comments]])/Posts[[#This Row],[Impressions]]</f>
        <v>0.11731037798484398</v>
      </c>
      <c r="K143" s="7">
        <v>48760</v>
      </c>
      <c r="L143" s="7">
        <v>92</v>
      </c>
      <c r="M143" s="6" t="s">
        <v>18</v>
      </c>
      <c r="N143" s="6"/>
      <c r="O143" s="6" t="s">
        <v>15</v>
      </c>
      <c r="P143" s="8">
        <f>SUM(Posts[[#This Row],[Likes]:[Comments]])</f>
        <v>5124</v>
      </c>
    </row>
    <row r="144" spans="1:16" x14ac:dyDescent="0.25">
      <c r="A144" s="6" t="s">
        <v>202</v>
      </c>
      <c r="B144" s="6" t="s">
        <v>11</v>
      </c>
      <c r="C144" s="9">
        <v>45460</v>
      </c>
      <c r="D144" s="6" t="s">
        <v>48</v>
      </c>
      <c r="E144" s="6" t="s">
        <v>49</v>
      </c>
      <c r="F144" s="7">
        <v>4283</v>
      </c>
      <c r="G144" s="7">
        <v>471</v>
      </c>
      <c r="H144" s="7">
        <v>156</v>
      </c>
      <c r="I144" s="7">
        <v>53004</v>
      </c>
      <c r="J144" s="28">
        <f>(Posts[[#This Row],[Likes]]+Posts[[#This Row],[Shares]]+Posts[[#This Row],[Comments]])/Posts[[#This Row],[Impressions]]</f>
        <v>9.2634518149573616E-2</v>
      </c>
      <c r="K144" s="7">
        <v>25678</v>
      </c>
      <c r="L144" s="7">
        <v>105</v>
      </c>
      <c r="M144" s="6" t="s">
        <v>26</v>
      </c>
      <c r="N144" s="6"/>
      <c r="O144" s="6" t="s">
        <v>23</v>
      </c>
      <c r="P144" s="8">
        <f>SUM(Posts[[#This Row],[Likes]:[Comments]])</f>
        <v>4910</v>
      </c>
    </row>
    <row r="145" spans="1:16" x14ac:dyDescent="0.25">
      <c r="A145" s="6" t="s">
        <v>203</v>
      </c>
      <c r="B145" s="6" t="s">
        <v>11</v>
      </c>
      <c r="C145" s="9">
        <v>45702</v>
      </c>
      <c r="D145" s="6" t="s">
        <v>48</v>
      </c>
      <c r="E145" s="6" t="s">
        <v>49</v>
      </c>
      <c r="F145" s="7">
        <v>2329</v>
      </c>
      <c r="G145" s="7">
        <v>373</v>
      </c>
      <c r="H145" s="7">
        <v>291</v>
      </c>
      <c r="I145" s="7">
        <v>49577</v>
      </c>
      <c r="J145" s="28">
        <f>(Posts[[#This Row],[Likes]]+Posts[[#This Row],[Shares]]+Posts[[#This Row],[Comments]])/Posts[[#This Row],[Impressions]]</f>
        <v>6.0370736430199488E-2</v>
      </c>
      <c r="K145" s="7">
        <v>28002</v>
      </c>
      <c r="L145" s="7">
        <v>82</v>
      </c>
      <c r="M145" s="6" t="s">
        <v>22</v>
      </c>
      <c r="N145" s="6" t="s">
        <v>18</v>
      </c>
      <c r="O145" s="6" t="s">
        <v>19</v>
      </c>
      <c r="P145" s="8">
        <f>SUM(Posts[[#This Row],[Likes]:[Comments]])</f>
        <v>2993</v>
      </c>
    </row>
    <row r="146" spans="1:16" x14ac:dyDescent="0.25">
      <c r="A146" s="6" t="s">
        <v>204</v>
      </c>
      <c r="B146" s="6" t="s">
        <v>17</v>
      </c>
      <c r="C146" s="9">
        <v>45805</v>
      </c>
      <c r="D146" s="6" t="s">
        <v>53</v>
      </c>
      <c r="E146" s="6" t="s">
        <v>65</v>
      </c>
      <c r="F146" s="7">
        <v>4287</v>
      </c>
      <c r="G146" s="7">
        <v>273</v>
      </c>
      <c r="H146" s="7">
        <v>122</v>
      </c>
      <c r="I146" s="7">
        <v>40792</v>
      </c>
      <c r="J146" s="28">
        <f>(Posts[[#This Row],[Likes]]+Posts[[#This Row],[Shares]]+Posts[[#This Row],[Comments]])/Posts[[#This Row],[Impressions]]</f>
        <v>0.11477740733477153</v>
      </c>
      <c r="K146" s="7">
        <v>23878</v>
      </c>
      <c r="L146" s="7">
        <v>277</v>
      </c>
      <c r="M146" s="6" t="s">
        <v>14</v>
      </c>
      <c r="N146" s="6" t="s">
        <v>18</v>
      </c>
      <c r="O146" s="6" t="s">
        <v>19</v>
      </c>
      <c r="P146" s="8">
        <f>SUM(Posts[[#This Row],[Likes]:[Comments]])</f>
        <v>4682</v>
      </c>
    </row>
    <row r="147" spans="1:16" x14ac:dyDescent="0.25">
      <c r="A147" s="6" t="s">
        <v>205</v>
      </c>
      <c r="B147" s="6" t="s">
        <v>11</v>
      </c>
      <c r="C147" s="9">
        <v>45799</v>
      </c>
      <c r="D147" s="6" t="s">
        <v>48</v>
      </c>
      <c r="E147" s="6" t="s">
        <v>49</v>
      </c>
      <c r="F147" s="7">
        <v>2633</v>
      </c>
      <c r="G147" s="7">
        <v>318</v>
      </c>
      <c r="H147" s="7">
        <v>380</v>
      </c>
      <c r="I147" s="7">
        <v>40869</v>
      </c>
      <c r="J147" s="28">
        <f>(Posts[[#This Row],[Likes]]+Posts[[#This Row],[Shares]]+Posts[[#This Row],[Comments]])/Posts[[#This Row],[Impressions]]</f>
        <v>8.1504318676747664E-2</v>
      </c>
      <c r="K147" s="7">
        <v>64474</v>
      </c>
      <c r="L147" s="7">
        <v>245</v>
      </c>
      <c r="M147" s="6" t="s">
        <v>26</v>
      </c>
      <c r="N147" s="6"/>
      <c r="O147" s="6" t="s">
        <v>23</v>
      </c>
      <c r="P147" s="8">
        <f>SUM(Posts[[#This Row],[Likes]:[Comments]])</f>
        <v>3331</v>
      </c>
    </row>
    <row r="148" spans="1:16" x14ac:dyDescent="0.25">
      <c r="A148" s="6" t="s">
        <v>206</v>
      </c>
      <c r="B148" s="6" t="s">
        <v>17</v>
      </c>
      <c r="C148" s="9">
        <v>45312</v>
      </c>
      <c r="D148" s="6" t="s">
        <v>53</v>
      </c>
      <c r="E148" s="6" t="s">
        <v>49</v>
      </c>
      <c r="F148" s="7">
        <v>2383</v>
      </c>
      <c r="G148" s="7">
        <v>136</v>
      </c>
      <c r="H148" s="7">
        <v>302</v>
      </c>
      <c r="I148" s="7">
        <v>39187</v>
      </c>
      <c r="J148" s="28">
        <f>(Posts[[#This Row],[Likes]]+Posts[[#This Row],[Shares]]+Posts[[#This Row],[Comments]])/Posts[[#This Row],[Impressions]]</f>
        <v>7.1988159338556151E-2</v>
      </c>
      <c r="K148" s="7">
        <v>22133</v>
      </c>
      <c r="L148" s="7">
        <v>208</v>
      </c>
      <c r="M148" s="6" t="s">
        <v>14</v>
      </c>
      <c r="N148" s="6" t="s">
        <v>18</v>
      </c>
      <c r="O148" s="6" t="s">
        <v>19</v>
      </c>
      <c r="P148" s="8">
        <f>SUM(Posts[[#This Row],[Likes]:[Comments]])</f>
        <v>2821</v>
      </c>
    </row>
    <row r="149" spans="1:16" x14ac:dyDescent="0.25">
      <c r="A149" s="6" t="s">
        <v>207</v>
      </c>
      <c r="B149" s="6" t="s">
        <v>17</v>
      </c>
      <c r="C149" s="9">
        <v>45696</v>
      </c>
      <c r="D149" s="6" t="s">
        <v>53</v>
      </c>
      <c r="E149" s="6" t="s">
        <v>73</v>
      </c>
      <c r="F149" s="7">
        <v>4752</v>
      </c>
      <c r="G149" s="7">
        <v>334</v>
      </c>
      <c r="H149" s="7">
        <v>56</v>
      </c>
      <c r="I149" s="7">
        <v>48017</v>
      </c>
      <c r="J149" s="28">
        <f>(Posts[[#This Row],[Likes]]+Posts[[#This Row],[Shares]]+Posts[[#This Row],[Comments]])/Posts[[#This Row],[Impressions]]</f>
        <v>0.10708707332819627</v>
      </c>
      <c r="K149" s="7">
        <v>55534</v>
      </c>
      <c r="L149" s="7">
        <v>270</v>
      </c>
      <c r="M149" s="6" t="s">
        <v>26</v>
      </c>
      <c r="N149" s="6" t="s">
        <v>14</v>
      </c>
      <c r="O149" s="6" t="s">
        <v>19</v>
      </c>
      <c r="P149" s="8">
        <f>SUM(Posts[[#This Row],[Likes]:[Comments]])</f>
        <v>5142</v>
      </c>
    </row>
    <row r="150" spans="1:16" x14ac:dyDescent="0.25">
      <c r="A150" s="6" t="s">
        <v>208</v>
      </c>
      <c r="B150" s="6" t="s">
        <v>17</v>
      </c>
      <c r="C150" s="9">
        <v>45760</v>
      </c>
      <c r="D150" s="6" t="s">
        <v>48</v>
      </c>
      <c r="E150" s="6" t="s">
        <v>71</v>
      </c>
      <c r="F150" s="7">
        <v>3890</v>
      </c>
      <c r="G150" s="7">
        <v>408</v>
      </c>
      <c r="H150" s="7">
        <v>338</v>
      </c>
      <c r="I150" s="7">
        <v>56994</v>
      </c>
      <c r="J150" s="28">
        <f>(Posts[[#This Row],[Likes]]+Posts[[#This Row],[Shares]]+Posts[[#This Row],[Comments]])/Posts[[#This Row],[Impressions]]</f>
        <v>8.1341895638137346E-2</v>
      </c>
      <c r="K150" s="7">
        <v>32621</v>
      </c>
      <c r="L150" s="7">
        <v>286</v>
      </c>
      <c r="M150" s="6" t="s">
        <v>22</v>
      </c>
      <c r="N150" s="6"/>
      <c r="O150" s="6" t="s">
        <v>23</v>
      </c>
      <c r="P150" s="8">
        <f>SUM(Posts[[#This Row],[Likes]:[Comments]])</f>
        <v>4636</v>
      </c>
    </row>
    <row r="151" spans="1:16" x14ac:dyDescent="0.25">
      <c r="A151" s="6" t="s">
        <v>209</v>
      </c>
      <c r="B151" s="6" t="s">
        <v>17</v>
      </c>
      <c r="C151" s="9">
        <v>45442</v>
      </c>
      <c r="D151" s="6" t="s">
        <v>53</v>
      </c>
      <c r="E151" s="6" t="s">
        <v>73</v>
      </c>
      <c r="F151" s="7">
        <v>2311</v>
      </c>
      <c r="G151" s="7">
        <v>207</v>
      </c>
      <c r="H151" s="7">
        <v>363</v>
      </c>
      <c r="I151" s="7">
        <v>30349</v>
      </c>
      <c r="J151" s="28">
        <f>(Posts[[#This Row],[Likes]]+Posts[[#This Row],[Shares]]+Posts[[#This Row],[Comments]])/Posts[[#This Row],[Impressions]]</f>
        <v>9.4928992718046723E-2</v>
      </c>
      <c r="K151" s="7">
        <v>32925</v>
      </c>
      <c r="L151" s="7">
        <v>88</v>
      </c>
      <c r="M151" s="6" t="s">
        <v>14</v>
      </c>
      <c r="N151" s="6" t="s">
        <v>18</v>
      </c>
      <c r="O151" s="6" t="s">
        <v>19</v>
      </c>
      <c r="P151" s="8">
        <f>SUM(Posts[[#This Row],[Likes]:[Comments]])</f>
        <v>2881</v>
      </c>
    </row>
    <row r="152" spans="1:16" x14ac:dyDescent="0.25">
      <c r="A152" s="6" t="s">
        <v>210</v>
      </c>
      <c r="B152" s="6" t="s">
        <v>11</v>
      </c>
      <c r="C152" s="9">
        <v>45516</v>
      </c>
      <c r="D152" s="6" t="s">
        <v>53</v>
      </c>
      <c r="E152" s="6" t="s">
        <v>49</v>
      </c>
      <c r="F152" s="7">
        <v>2962</v>
      </c>
      <c r="G152" s="7">
        <v>400</v>
      </c>
      <c r="H152" s="7">
        <v>280</v>
      </c>
      <c r="I152" s="7">
        <v>52508</v>
      </c>
      <c r="J152" s="28">
        <f>(Posts[[#This Row],[Likes]]+Posts[[#This Row],[Shares]]+Posts[[#This Row],[Comments]])/Posts[[#This Row],[Impressions]]</f>
        <v>6.9360859297630834E-2</v>
      </c>
      <c r="K152" s="7">
        <v>58329</v>
      </c>
      <c r="L152" s="7">
        <v>219</v>
      </c>
      <c r="M152" s="6" t="s">
        <v>18</v>
      </c>
      <c r="N152" s="6"/>
      <c r="O152" s="6" t="s">
        <v>15</v>
      </c>
      <c r="P152" s="8">
        <f>SUM(Posts[[#This Row],[Likes]:[Comments]])</f>
        <v>3642</v>
      </c>
    </row>
    <row r="153" spans="1:16" x14ac:dyDescent="0.25">
      <c r="A153" s="6" t="s">
        <v>211</v>
      </c>
      <c r="B153" s="6" t="s">
        <v>11</v>
      </c>
      <c r="C153" s="9">
        <v>45562</v>
      </c>
      <c r="D153" s="6" t="s">
        <v>48</v>
      </c>
      <c r="E153" s="6" t="s">
        <v>49</v>
      </c>
      <c r="F153" s="7">
        <v>3118</v>
      </c>
      <c r="G153" s="7">
        <v>116</v>
      </c>
      <c r="H153" s="7">
        <v>195</v>
      </c>
      <c r="I153" s="7">
        <v>37100</v>
      </c>
      <c r="J153" s="28">
        <f>(Posts[[#This Row],[Likes]]+Posts[[#This Row],[Shares]]+Posts[[#This Row],[Comments]])/Posts[[#This Row],[Impressions]]</f>
        <v>9.2425876010781671E-2</v>
      </c>
      <c r="K153" s="7">
        <v>62629</v>
      </c>
      <c r="L153" s="7">
        <v>272</v>
      </c>
      <c r="M153" s="6" t="s">
        <v>26</v>
      </c>
      <c r="N153" s="6"/>
      <c r="O153" s="6" t="s">
        <v>23</v>
      </c>
      <c r="P153" s="8">
        <f>SUM(Posts[[#This Row],[Likes]:[Comments]])</f>
        <v>3429</v>
      </c>
    </row>
    <row r="154" spans="1:16" x14ac:dyDescent="0.25">
      <c r="A154" s="6" t="s">
        <v>212</v>
      </c>
      <c r="B154" s="6" t="s">
        <v>17</v>
      </c>
      <c r="C154" s="9">
        <v>45819</v>
      </c>
      <c r="D154" s="6" t="s">
        <v>53</v>
      </c>
      <c r="E154" s="6" t="s">
        <v>51</v>
      </c>
      <c r="F154" s="7">
        <v>3805</v>
      </c>
      <c r="G154" s="7">
        <v>453</v>
      </c>
      <c r="H154" s="7">
        <v>63</v>
      </c>
      <c r="I154" s="7">
        <v>52395</v>
      </c>
      <c r="J154" s="28">
        <f>(Posts[[#This Row],[Likes]]+Posts[[#This Row],[Shares]]+Posts[[#This Row],[Comments]])/Posts[[#This Row],[Impressions]]</f>
        <v>8.2469701307376658E-2</v>
      </c>
      <c r="K154" s="7">
        <v>72934</v>
      </c>
      <c r="L154" s="7">
        <v>87</v>
      </c>
      <c r="M154" s="6" t="s">
        <v>26</v>
      </c>
      <c r="N154" s="6" t="s">
        <v>14</v>
      </c>
      <c r="O154" s="6" t="s">
        <v>19</v>
      </c>
      <c r="P154" s="8">
        <f>SUM(Posts[[#This Row],[Likes]:[Comments]])</f>
        <v>4321</v>
      </c>
    </row>
    <row r="155" spans="1:16" x14ac:dyDescent="0.25">
      <c r="A155" s="6" t="s">
        <v>213</v>
      </c>
      <c r="B155" s="6" t="s">
        <v>11</v>
      </c>
      <c r="C155" s="9">
        <v>45615</v>
      </c>
      <c r="D155" s="6" t="s">
        <v>48</v>
      </c>
      <c r="E155" s="6" t="s">
        <v>60</v>
      </c>
      <c r="F155" s="7">
        <v>2525</v>
      </c>
      <c r="G155" s="7">
        <v>272</v>
      </c>
      <c r="H155" s="7">
        <v>294</v>
      </c>
      <c r="I155" s="7">
        <v>51875</v>
      </c>
      <c r="J155" s="28">
        <f>(Posts[[#This Row],[Likes]]+Posts[[#This Row],[Shares]]+Posts[[#This Row],[Comments]])/Posts[[#This Row],[Impressions]]</f>
        <v>5.9585542168674697E-2</v>
      </c>
      <c r="K155" s="7">
        <v>24732</v>
      </c>
      <c r="L155" s="7">
        <v>92</v>
      </c>
      <c r="M155" s="6" t="s">
        <v>26</v>
      </c>
      <c r="N155" s="6"/>
      <c r="O155" s="6" t="s">
        <v>23</v>
      </c>
      <c r="P155" s="8">
        <f>SUM(Posts[[#This Row],[Likes]:[Comments]])</f>
        <v>3091</v>
      </c>
    </row>
    <row r="156" spans="1:16" x14ac:dyDescent="0.25">
      <c r="A156" s="6" t="s">
        <v>214</v>
      </c>
      <c r="B156" s="6" t="s">
        <v>11</v>
      </c>
      <c r="C156" s="9">
        <v>45407</v>
      </c>
      <c r="D156" s="6" t="s">
        <v>48</v>
      </c>
      <c r="E156" s="6" t="s">
        <v>58</v>
      </c>
      <c r="F156" s="7">
        <v>3563</v>
      </c>
      <c r="G156" s="7">
        <v>483</v>
      </c>
      <c r="H156" s="7">
        <v>227</v>
      </c>
      <c r="I156" s="7">
        <v>41085</v>
      </c>
      <c r="J156" s="28">
        <f>(Posts[[#This Row],[Likes]]+Posts[[#This Row],[Shares]]+Posts[[#This Row],[Comments]])/Posts[[#This Row],[Impressions]]</f>
        <v>0.10400389436534015</v>
      </c>
      <c r="K156" s="7">
        <v>26393</v>
      </c>
      <c r="L156" s="7">
        <v>236</v>
      </c>
      <c r="M156" s="6" t="s">
        <v>22</v>
      </c>
      <c r="N156" s="6" t="s">
        <v>18</v>
      </c>
      <c r="O156" s="6" t="s">
        <v>19</v>
      </c>
      <c r="P156" s="8">
        <f>SUM(Posts[[#This Row],[Likes]:[Comments]])</f>
        <v>4273</v>
      </c>
    </row>
    <row r="157" spans="1:16" x14ac:dyDescent="0.25">
      <c r="A157" s="6" t="s">
        <v>215</v>
      </c>
      <c r="B157" s="6" t="s">
        <v>12</v>
      </c>
      <c r="C157" s="9">
        <v>45538</v>
      </c>
      <c r="D157" s="6" t="s">
        <v>78</v>
      </c>
      <c r="E157" s="6" t="s">
        <v>60</v>
      </c>
      <c r="F157" s="7">
        <v>1437</v>
      </c>
      <c r="G157" s="7">
        <v>494</v>
      </c>
      <c r="H157" s="7">
        <v>129</v>
      </c>
      <c r="I157" s="7">
        <v>53048</v>
      </c>
      <c r="J157" s="28">
        <f>(Posts[[#This Row],[Likes]]+Posts[[#This Row],[Shares]]+Posts[[#This Row],[Comments]])/Posts[[#This Row],[Impressions]]</f>
        <v>3.8832755240536872E-2</v>
      </c>
      <c r="K157" s="7">
        <v>44090</v>
      </c>
      <c r="L157" s="7">
        <v>230</v>
      </c>
      <c r="M157" s="6" t="s">
        <v>26</v>
      </c>
      <c r="N157" s="6" t="s">
        <v>22</v>
      </c>
      <c r="O157" s="6" t="s">
        <v>9</v>
      </c>
      <c r="P157" s="8">
        <f>SUM(Posts[[#This Row],[Likes]:[Comments]])</f>
        <v>2060</v>
      </c>
    </row>
    <row r="158" spans="1:16" x14ac:dyDescent="0.25">
      <c r="A158" s="6" t="s">
        <v>216</v>
      </c>
      <c r="B158" s="6" t="s">
        <v>12</v>
      </c>
      <c r="C158" s="9">
        <v>45718</v>
      </c>
      <c r="D158" s="6" t="s">
        <v>48</v>
      </c>
      <c r="E158" s="6" t="s">
        <v>71</v>
      </c>
      <c r="F158" s="7">
        <v>4425</v>
      </c>
      <c r="G158" s="7">
        <v>185</v>
      </c>
      <c r="H158" s="7">
        <v>162</v>
      </c>
      <c r="I158" s="7">
        <v>24610</v>
      </c>
      <c r="J158" s="28">
        <f>(Posts[[#This Row],[Likes]]+Posts[[#This Row],[Shares]]+Posts[[#This Row],[Comments]])/Posts[[#This Row],[Impressions]]</f>
        <v>0.19390491670052823</v>
      </c>
      <c r="K158" s="7">
        <v>21342</v>
      </c>
      <c r="L158" s="7">
        <v>158</v>
      </c>
      <c r="M158" s="6" t="s">
        <v>26</v>
      </c>
      <c r="N158" s="6" t="s">
        <v>13</v>
      </c>
      <c r="O158" s="6" t="s">
        <v>23</v>
      </c>
      <c r="P158" s="8">
        <f>SUM(Posts[[#This Row],[Likes]:[Comments]])</f>
        <v>4772</v>
      </c>
    </row>
    <row r="159" spans="1:16" x14ac:dyDescent="0.25">
      <c r="A159" s="6" t="s">
        <v>217</v>
      </c>
      <c r="B159" s="6" t="s">
        <v>17</v>
      </c>
      <c r="C159" s="9">
        <v>45737</v>
      </c>
      <c r="D159" s="6" t="s">
        <v>53</v>
      </c>
      <c r="E159" s="6" t="s">
        <v>54</v>
      </c>
      <c r="F159" s="7">
        <v>4609</v>
      </c>
      <c r="G159" s="7">
        <v>427</v>
      </c>
      <c r="H159" s="7">
        <v>395</v>
      </c>
      <c r="I159" s="7">
        <v>33698</v>
      </c>
      <c r="J159" s="28">
        <f>(Posts[[#This Row],[Likes]]+Posts[[#This Row],[Shares]]+Posts[[#This Row],[Comments]])/Posts[[#This Row],[Impressions]]</f>
        <v>0.16116683482699271</v>
      </c>
      <c r="K159" s="7">
        <v>29259</v>
      </c>
      <c r="L159" s="7">
        <v>216</v>
      </c>
      <c r="M159" s="6" t="s">
        <v>26</v>
      </c>
      <c r="N159" s="6" t="s">
        <v>14</v>
      </c>
      <c r="O159" s="6" t="s">
        <v>19</v>
      </c>
      <c r="P159" s="8">
        <f>SUM(Posts[[#This Row],[Likes]:[Comments]])</f>
        <v>5431</v>
      </c>
    </row>
    <row r="160" spans="1:16" x14ac:dyDescent="0.25">
      <c r="A160" s="6" t="s">
        <v>218</v>
      </c>
      <c r="B160" s="6" t="s">
        <v>11</v>
      </c>
      <c r="C160" s="9">
        <v>45394</v>
      </c>
      <c r="D160" s="6" t="s">
        <v>53</v>
      </c>
      <c r="E160" s="6" t="s">
        <v>62</v>
      </c>
      <c r="F160" s="7">
        <v>1558</v>
      </c>
      <c r="G160" s="7">
        <v>352</v>
      </c>
      <c r="H160" s="7">
        <v>202</v>
      </c>
      <c r="I160" s="7">
        <v>25405</v>
      </c>
      <c r="J160" s="28">
        <f>(Posts[[#This Row],[Likes]]+Posts[[#This Row],[Shares]]+Posts[[#This Row],[Comments]])/Posts[[#This Row],[Impressions]]</f>
        <v>8.3133241487896081E-2</v>
      </c>
      <c r="K160" s="7">
        <v>69941</v>
      </c>
      <c r="L160" s="7">
        <v>219</v>
      </c>
      <c r="M160" s="6" t="s">
        <v>18</v>
      </c>
      <c r="N160" s="6"/>
      <c r="O160" s="6" t="s">
        <v>15</v>
      </c>
      <c r="P160" s="8">
        <f>SUM(Posts[[#This Row],[Likes]:[Comments]])</f>
        <v>2112</v>
      </c>
    </row>
    <row r="161" spans="1:16" x14ac:dyDescent="0.25">
      <c r="A161" s="6" t="s">
        <v>219</v>
      </c>
      <c r="B161" s="6" t="s">
        <v>12</v>
      </c>
      <c r="C161" s="9">
        <v>45330</v>
      </c>
      <c r="D161" s="6" t="s">
        <v>78</v>
      </c>
      <c r="E161" s="6" t="s">
        <v>65</v>
      </c>
      <c r="F161" s="7">
        <v>1889</v>
      </c>
      <c r="G161" s="7">
        <v>298</v>
      </c>
      <c r="H161" s="7">
        <v>122</v>
      </c>
      <c r="I161" s="7">
        <v>46225</v>
      </c>
      <c r="J161" s="28">
        <f>(Posts[[#This Row],[Likes]]+Posts[[#This Row],[Shares]]+Posts[[#This Row],[Comments]])/Posts[[#This Row],[Impressions]]</f>
        <v>4.9951325040562468E-2</v>
      </c>
      <c r="K161" s="7">
        <v>74305</v>
      </c>
      <c r="L161" s="7">
        <v>293</v>
      </c>
      <c r="M161" s="6" t="s">
        <v>26</v>
      </c>
      <c r="N161" s="6" t="s">
        <v>22</v>
      </c>
      <c r="O161" s="6" t="s">
        <v>9</v>
      </c>
      <c r="P161" s="8">
        <f>SUM(Posts[[#This Row],[Likes]:[Comments]])</f>
        <v>2309</v>
      </c>
    </row>
    <row r="162" spans="1:16" x14ac:dyDescent="0.25">
      <c r="A162" s="6" t="s">
        <v>220</v>
      </c>
      <c r="B162" s="6" t="s">
        <v>11</v>
      </c>
      <c r="C162" s="9">
        <v>45803</v>
      </c>
      <c r="D162" s="6" t="s">
        <v>48</v>
      </c>
      <c r="E162" s="6" t="s">
        <v>49</v>
      </c>
      <c r="F162" s="7">
        <v>3086</v>
      </c>
      <c r="G162" s="7">
        <v>148</v>
      </c>
      <c r="H162" s="7">
        <v>310</v>
      </c>
      <c r="I162" s="7">
        <v>22824</v>
      </c>
      <c r="J162" s="28">
        <f>(Posts[[#This Row],[Likes]]+Posts[[#This Row],[Shares]]+Posts[[#This Row],[Comments]])/Posts[[#This Row],[Impressions]]</f>
        <v>0.1552751489660007</v>
      </c>
      <c r="K162" s="7">
        <v>58103</v>
      </c>
      <c r="L162" s="7">
        <v>275</v>
      </c>
      <c r="M162" s="6" t="s">
        <v>26</v>
      </c>
      <c r="N162" s="6"/>
      <c r="O162" s="6" t="s">
        <v>23</v>
      </c>
      <c r="P162" s="8">
        <f>SUM(Posts[[#This Row],[Likes]:[Comments]])</f>
        <v>3544</v>
      </c>
    </row>
    <row r="163" spans="1:16" x14ac:dyDescent="0.25">
      <c r="A163" s="6" t="s">
        <v>221</v>
      </c>
      <c r="B163" s="6" t="s">
        <v>11</v>
      </c>
      <c r="C163" s="9">
        <v>45610</v>
      </c>
      <c r="D163" s="6" t="s">
        <v>48</v>
      </c>
      <c r="E163" s="6" t="s">
        <v>58</v>
      </c>
      <c r="F163" s="7">
        <v>2422</v>
      </c>
      <c r="G163" s="7">
        <v>318</v>
      </c>
      <c r="H163" s="7">
        <v>118</v>
      </c>
      <c r="I163" s="7">
        <v>25386</v>
      </c>
      <c r="J163" s="28">
        <f>(Posts[[#This Row],[Likes]]+Posts[[#This Row],[Shares]]+Posts[[#This Row],[Comments]])/Posts[[#This Row],[Impressions]]</f>
        <v>0.11258173796580792</v>
      </c>
      <c r="K163" s="7">
        <v>20873</v>
      </c>
      <c r="L163" s="7">
        <v>100</v>
      </c>
      <c r="M163" s="6" t="s">
        <v>22</v>
      </c>
      <c r="N163" s="6" t="s">
        <v>18</v>
      </c>
      <c r="O163" s="6" t="s">
        <v>19</v>
      </c>
      <c r="P163" s="8">
        <f>SUM(Posts[[#This Row],[Likes]:[Comments]])</f>
        <v>2858</v>
      </c>
    </row>
    <row r="164" spans="1:16" x14ac:dyDescent="0.25">
      <c r="A164" s="6" t="s">
        <v>222</v>
      </c>
      <c r="B164" s="6" t="s">
        <v>12</v>
      </c>
      <c r="C164" s="9">
        <v>45513</v>
      </c>
      <c r="D164" s="6" t="s">
        <v>78</v>
      </c>
      <c r="E164" s="6" t="s">
        <v>71</v>
      </c>
      <c r="F164" s="7">
        <v>3414</v>
      </c>
      <c r="G164" s="7">
        <v>154</v>
      </c>
      <c r="H164" s="7">
        <v>204</v>
      </c>
      <c r="I164" s="7">
        <v>34146</v>
      </c>
      <c r="J164" s="28">
        <f>(Posts[[#This Row],[Likes]]+Posts[[#This Row],[Shares]]+Posts[[#This Row],[Comments]])/Posts[[#This Row],[Impressions]]</f>
        <v>0.11046681895390383</v>
      </c>
      <c r="K164" s="7">
        <v>44633</v>
      </c>
      <c r="L164" s="7">
        <v>256</v>
      </c>
      <c r="M164" s="6" t="s">
        <v>26</v>
      </c>
      <c r="N164" s="6" t="s">
        <v>22</v>
      </c>
      <c r="O164" s="6" t="s">
        <v>9</v>
      </c>
      <c r="P164" s="8">
        <f>SUM(Posts[[#This Row],[Likes]:[Comments]])</f>
        <v>3772</v>
      </c>
    </row>
    <row r="165" spans="1:16" x14ac:dyDescent="0.25">
      <c r="A165" s="6" t="s">
        <v>223</v>
      </c>
      <c r="B165" s="6" t="s">
        <v>11</v>
      </c>
      <c r="C165" s="9">
        <v>45835</v>
      </c>
      <c r="D165" s="6" t="s">
        <v>53</v>
      </c>
      <c r="E165" s="6" t="s">
        <v>60</v>
      </c>
      <c r="F165" s="7">
        <v>1342</v>
      </c>
      <c r="G165" s="7">
        <v>332</v>
      </c>
      <c r="H165" s="7">
        <v>163</v>
      </c>
      <c r="I165" s="7">
        <v>51712</v>
      </c>
      <c r="J165" s="28">
        <f>(Posts[[#This Row],[Likes]]+Posts[[#This Row],[Shares]]+Posts[[#This Row],[Comments]])/Posts[[#This Row],[Impressions]]</f>
        <v>3.5523669554455448E-2</v>
      </c>
      <c r="K165" s="7">
        <v>57922</v>
      </c>
      <c r="L165" s="7">
        <v>168</v>
      </c>
      <c r="M165" s="6" t="s">
        <v>18</v>
      </c>
      <c r="N165" s="6"/>
      <c r="O165" s="6" t="s">
        <v>15</v>
      </c>
      <c r="P165" s="8">
        <f>SUM(Posts[[#This Row],[Likes]:[Comments]])</f>
        <v>1837</v>
      </c>
    </row>
    <row r="166" spans="1:16" x14ac:dyDescent="0.25">
      <c r="A166" s="6" t="s">
        <v>224</v>
      </c>
      <c r="B166" s="6" t="s">
        <v>11</v>
      </c>
      <c r="C166" s="9">
        <v>45420</v>
      </c>
      <c r="D166" s="6" t="s">
        <v>53</v>
      </c>
      <c r="E166" s="6" t="s">
        <v>58</v>
      </c>
      <c r="F166" s="7">
        <v>2414</v>
      </c>
      <c r="G166" s="7">
        <v>220</v>
      </c>
      <c r="H166" s="7">
        <v>280</v>
      </c>
      <c r="I166" s="7">
        <v>27355</v>
      </c>
      <c r="J166" s="28">
        <f>(Posts[[#This Row],[Likes]]+Posts[[#This Row],[Shares]]+Posts[[#This Row],[Comments]])/Posts[[#This Row],[Impressions]]</f>
        <v>0.10652531529884847</v>
      </c>
      <c r="K166" s="7">
        <v>50562</v>
      </c>
      <c r="L166" s="7">
        <v>258</v>
      </c>
      <c r="M166" s="6" t="s">
        <v>18</v>
      </c>
      <c r="N166" s="6"/>
      <c r="O166" s="6" t="s">
        <v>15</v>
      </c>
      <c r="P166" s="8">
        <f>SUM(Posts[[#This Row],[Likes]:[Comments]])</f>
        <v>2914</v>
      </c>
    </row>
    <row r="167" spans="1:16" x14ac:dyDescent="0.25">
      <c r="A167" s="6" t="s">
        <v>225</v>
      </c>
      <c r="B167" s="6" t="s">
        <v>11</v>
      </c>
      <c r="C167" s="9">
        <v>45387</v>
      </c>
      <c r="D167" s="6" t="s">
        <v>48</v>
      </c>
      <c r="E167" s="6" t="s">
        <v>54</v>
      </c>
      <c r="F167" s="7">
        <v>4383</v>
      </c>
      <c r="G167" s="7">
        <v>352</v>
      </c>
      <c r="H167" s="7">
        <v>176</v>
      </c>
      <c r="I167" s="7">
        <v>53239</v>
      </c>
      <c r="J167" s="28">
        <f>(Posts[[#This Row],[Likes]]+Posts[[#This Row],[Shares]]+Posts[[#This Row],[Comments]])/Posts[[#This Row],[Impressions]]</f>
        <v>9.2244407295403744E-2</v>
      </c>
      <c r="K167" s="7">
        <v>34168</v>
      </c>
      <c r="L167" s="7">
        <v>288</v>
      </c>
      <c r="M167" s="6" t="s">
        <v>26</v>
      </c>
      <c r="N167" s="6"/>
      <c r="O167" s="6" t="s">
        <v>23</v>
      </c>
      <c r="P167" s="8">
        <f>SUM(Posts[[#This Row],[Likes]:[Comments]])</f>
        <v>4911</v>
      </c>
    </row>
    <row r="168" spans="1:16" x14ac:dyDescent="0.25">
      <c r="A168" s="6" t="s">
        <v>226</v>
      </c>
      <c r="B168" s="6" t="s">
        <v>12</v>
      </c>
      <c r="C168" s="9">
        <v>45684</v>
      </c>
      <c r="D168" s="6" t="s">
        <v>48</v>
      </c>
      <c r="E168" s="6" t="s">
        <v>56</v>
      </c>
      <c r="F168" s="7">
        <v>4294</v>
      </c>
      <c r="G168" s="7">
        <v>423</v>
      </c>
      <c r="H168" s="7">
        <v>93</v>
      </c>
      <c r="I168" s="7">
        <v>29828</v>
      </c>
      <c r="J168" s="28">
        <f>(Posts[[#This Row],[Likes]]+Posts[[#This Row],[Shares]]+Posts[[#This Row],[Comments]])/Posts[[#This Row],[Impressions]]</f>
        <v>0.1612578785034196</v>
      </c>
      <c r="K168" s="7">
        <v>73144</v>
      </c>
      <c r="L168" s="7">
        <v>298</v>
      </c>
      <c r="M168" s="6" t="s">
        <v>26</v>
      </c>
      <c r="N168" s="6" t="s">
        <v>13</v>
      </c>
      <c r="O168" s="6" t="s">
        <v>23</v>
      </c>
      <c r="P168" s="8">
        <f>SUM(Posts[[#This Row],[Likes]:[Comments]])</f>
        <v>4810</v>
      </c>
    </row>
    <row r="169" spans="1:16" x14ac:dyDescent="0.25">
      <c r="A169" s="6" t="s">
        <v>227</v>
      </c>
      <c r="B169" s="6" t="s">
        <v>11</v>
      </c>
      <c r="C169" s="9">
        <v>45385</v>
      </c>
      <c r="D169" s="6" t="s">
        <v>48</v>
      </c>
      <c r="E169" s="6" t="s">
        <v>65</v>
      </c>
      <c r="F169" s="7">
        <v>2762</v>
      </c>
      <c r="G169" s="7">
        <v>339</v>
      </c>
      <c r="H169" s="7">
        <v>323</v>
      </c>
      <c r="I169" s="7">
        <v>33757</v>
      </c>
      <c r="J169" s="28">
        <f>(Posts[[#This Row],[Likes]]+Posts[[#This Row],[Shares]]+Posts[[#This Row],[Comments]])/Posts[[#This Row],[Impressions]]</f>
        <v>0.10143081434961637</v>
      </c>
      <c r="K169" s="7">
        <v>68511</v>
      </c>
      <c r="L169" s="7">
        <v>121</v>
      </c>
      <c r="M169" s="6" t="s">
        <v>22</v>
      </c>
      <c r="N169" s="6" t="s">
        <v>18</v>
      </c>
      <c r="O169" s="6" t="s">
        <v>19</v>
      </c>
      <c r="P169" s="8">
        <f>SUM(Posts[[#This Row],[Likes]:[Comments]])</f>
        <v>3424</v>
      </c>
    </row>
    <row r="170" spans="1:16" x14ac:dyDescent="0.25">
      <c r="A170" s="6" t="s">
        <v>228</v>
      </c>
      <c r="B170" s="6" t="s">
        <v>12</v>
      </c>
      <c r="C170" s="9">
        <v>45660</v>
      </c>
      <c r="D170" s="6" t="s">
        <v>48</v>
      </c>
      <c r="E170" s="6" t="s">
        <v>54</v>
      </c>
      <c r="F170" s="7">
        <v>3782</v>
      </c>
      <c r="G170" s="7">
        <v>484</v>
      </c>
      <c r="H170" s="7">
        <v>144</v>
      </c>
      <c r="I170" s="7">
        <v>52172</v>
      </c>
      <c r="J170" s="28">
        <f>(Posts[[#This Row],[Likes]]+Posts[[#This Row],[Shares]]+Posts[[#This Row],[Comments]])/Posts[[#This Row],[Impressions]]</f>
        <v>8.4528099363643333E-2</v>
      </c>
      <c r="K170" s="7">
        <v>59386</v>
      </c>
      <c r="L170" s="7">
        <v>175</v>
      </c>
      <c r="M170" s="6" t="s">
        <v>26</v>
      </c>
      <c r="N170" s="6" t="s">
        <v>13</v>
      </c>
      <c r="O170" s="6" t="s">
        <v>23</v>
      </c>
      <c r="P170" s="8">
        <f>SUM(Posts[[#This Row],[Likes]:[Comments]])</f>
        <v>4410</v>
      </c>
    </row>
    <row r="171" spans="1:16" x14ac:dyDescent="0.25">
      <c r="A171" s="6" t="s">
        <v>229</v>
      </c>
      <c r="B171" s="6" t="s">
        <v>17</v>
      </c>
      <c r="C171" s="9">
        <v>45619</v>
      </c>
      <c r="D171" s="6" t="s">
        <v>48</v>
      </c>
      <c r="E171" s="6" t="s">
        <v>54</v>
      </c>
      <c r="F171" s="7">
        <v>4318</v>
      </c>
      <c r="G171" s="7">
        <v>371</v>
      </c>
      <c r="H171" s="7">
        <v>329</v>
      </c>
      <c r="I171" s="7">
        <v>32347</v>
      </c>
      <c r="J171" s="28">
        <f>(Posts[[#This Row],[Likes]]+Posts[[#This Row],[Shares]]+Posts[[#This Row],[Comments]])/Posts[[#This Row],[Impressions]]</f>
        <v>0.15513030574705536</v>
      </c>
      <c r="K171" s="7">
        <v>68956</v>
      </c>
      <c r="L171" s="7">
        <v>259</v>
      </c>
      <c r="M171" s="6" t="s">
        <v>22</v>
      </c>
      <c r="N171" s="6"/>
      <c r="O171" s="6" t="s">
        <v>23</v>
      </c>
      <c r="P171" s="8">
        <f>SUM(Posts[[#This Row],[Likes]:[Comments]])</f>
        <v>5018</v>
      </c>
    </row>
    <row r="172" spans="1:16" x14ac:dyDescent="0.25">
      <c r="A172" s="6" t="s">
        <v>230</v>
      </c>
      <c r="B172" s="6" t="s">
        <v>11</v>
      </c>
      <c r="C172" s="9">
        <v>45536</v>
      </c>
      <c r="D172" s="6" t="s">
        <v>53</v>
      </c>
      <c r="E172" s="6" t="s">
        <v>56</v>
      </c>
      <c r="F172" s="7">
        <v>2335</v>
      </c>
      <c r="G172" s="7">
        <v>150</v>
      </c>
      <c r="H172" s="7">
        <v>75</v>
      </c>
      <c r="I172" s="7">
        <v>26114</v>
      </c>
      <c r="J172" s="28">
        <f>(Posts[[#This Row],[Likes]]+Posts[[#This Row],[Shares]]+Posts[[#This Row],[Comments]])/Posts[[#This Row],[Impressions]]</f>
        <v>9.8031707130274953E-2</v>
      </c>
      <c r="K172" s="7">
        <v>57549</v>
      </c>
      <c r="L172" s="7">
        <v>135</v>
      </c>
      <c r="M172" s="6" t="s">
        <v>18</v>
      </c>
      <c r="N172" s="6"/>
      <c r="O172" s="6" t="s">
        <v>15</v>
      </c>
      <c r="P172" s="8">
        <f>SUM(Posts[[#This Row],[Likes]:[Comments]])</f>
        <v>2560</v>
      </c>
    </row>
    <row r="173" spans="1:16" x14ac:dyDescent="0.25">
      <c r="A173" s="6" t="s">
        <v>231</v>
      </c>
      <c r="B173" s="6" t="s">
        <v>12</v>
      </c>
      <c r="C173" s="9">
        <v>45400</v>
      </c>
      <c r="D173" s="6" t="s">
        <v>48</v>
      </c>
      <c r="E173" s="6" t="s">
        <v>51</v>
      </c>
      <c r="F173" s="7">
        <v>4023</v>
      </c>
      <c r="G173" s="7">
        <v>293</v>
      </c>
      <c r="H173" s="7">
        <v>91</v>
      </c>
      <c r="I173" s="7">
        <v>26795</v>
      </c>
      <c r="J173" s="28">
        <f>(Posts[[#This Row],[Likes]]+Posts[[#This Row],[Shares]]+Posts[[#This Row],[Comments]])/Posts[[#This Row],[Impressions]]</f>
        <v>0.16447098339242397</v>
      </c>
      <c r="K173" s="7">
        <v>28924</v>
      </c>
      <c r="L173" s="7">
        <v>278</v>
      </c>
      <c r="M173" s="6" t="s">
        <v>26</v>
      </c>
      <c r="N173" s="6" t="s">
        <v>13</v>
      </c>
      <c r="O173" s="6" t="s">
        <v>23</v>
      </c>
      <c r="P173" s="8">
        <f>SUM(Posts[[#This Row],[Likes]:[Comments]])</f>
        <v>4407</v>
      </c>
    </row>
    <row r="174" spans="1:16" x14ac:dyDescent="0.25">
      <c r="A174" s="6" t="s">
        <v>232</v>
      </c>
      <c r="B174" s="6" t="s">
        <v>11</v>
      </c>
      <c r="C174" s="9">
        <v>45447</v>
      </c>
      <c r="D174" s="6" t="s">
        <v>48</v>
      </c>
      <c r="E174" s="6" t="s">
        <v>62</v>
      </c>
      <c r="F174" s="7">
        <v>3948</v>
      </c>
      <c r="G174" s="7">
        <v>151</v>
      </c>
      <c r="H174" s="7">
        <v>249</v>
      </c>
      <c r="I174" s="7">
        <v>43147</v>
      </c>
      <c r="J174" s="28">
        <f>(Posts[[#This Row],[Likes]]+Posts[[#This Row],[Shares]]+Posts[[#This Row],[Comments]])/Posts[[#This Row],[Impressions]]</f>
        <v>0.10077178019329269</v>
      </c>
      <c r="K174" s="7">
        <v>63136</v>
      </c>
      <c r="L174" s="7">
        <v>230</v>
      </c>
      <c r="M174" s="6" t="s">
        <v>26</v>
      </c>
      <c r="N174" s="6"/>
      <c r="O174" s="6" t="s">
        <v>23</v>
      </c>
      <c r="P174" s="8">
        <f>SUM(Posts[[#This Row],[Likes]:[Comments]])</f>
        <v>4348</v>
      </c>
    </row>
    <row r="175" spans="1:16" x14ac:dyDescent="0.25">
      <c r="A175" s="6" t="s">
        <v>233</v>
      </c>
      <c r="B175" s="6" t="s">
        <v>12</v>
      </c>
      <c r="C175" s="9">
        <v>45749</v>
      </c>
      <c r="D175" s="6" t="s">
        <v>48</v>
      </c>
      <c r="E175" s="6" t="s">
        <v>56</v>
      </c>
      <c r="F175" s="7">
        <v>4598</v>
      </c>
      <c r="G175" s="7">
        <v>455</v>
      </c>
      <c r="H175" s="7">
        <v>378</v>
      </c>
      <c r="I175" s="7">
        <v>52952</v>
      </c>
      <c r="J175" s="28">
        <f>(Posts[[#This Row],[Likes]]+Posts[[#This Row],[Shares]]+Posts[[#This Row],[Comments]])/Posts[[#This Row],[Impressions]]</f>
        <v>0.10256458679558846</v>
      </c>
      <c r="K175" s="7">
        <v>58504</v>
      </c>
      <c r="L175" s="7">
        <v>269</v>
      </c>
      <c r="M175" s="6" t="s">
        <v>26</v>
      </c>
      <c r="N175" s="6" t="s">
        <v>13</v>
      </c>
      <c r="O175" s="6" t="s">
        <v>23</v>
      </c>
      <c r="P175" s="8">
        <f>SUM(Posts[[#This Row],[Likes]:[Comments]])</f>
        <v>5431</v>
      </c>
    </row>
    <row r="176" spans="1:16" x14ac:dyDescent="0.25">
      <c r="A176" s="6" t="s">
        <v>234</v>
      </c>
      <c r="B176" s="6" t="s">
        <v>17</v>
      </c>
      <c r="C176" s="9">
        <v>45748</v>
      </c>
      <c r="D176" s="6" t="s">
        <v>53</v>
      </c>
      <c r="E176" s="6" t="s">
        <v>58</v>
      </c>
      <c r="F176" s="7">
        <v>2665</v>
      </c>
      <c r="G176" s="7">
        <v>143</v>
      </c>
      <c r="H176" s="7">
        <v>315</v>
      </c>
      <c r="I176" s="7">
        <v>54808</v>
      </c>
      <c r="J176" s="28">
        <f>(Posts[[#This Row],[Likes]]+Posts[[#This Row],[Shares]]+Posts[[#This Row],[Comments]])/Posts[[#This Row],[Impressions]]</f>
        <v>5.6980732739746021E-2</v>
      </c>
      <c r="K176" s="7">
        <v>29818</v>
      </c>
      <c r="L176" s="7">
        <v>98</v>
      </c>
      <c r="M176" s="6" t="s">
        <v>26</v>
      </c>
      <c r="N176" s="6" t="s">
        <v>14</v>
      </c>
      <c r="O176" s="6" t="s">
        <v>19</v>
      </c>
      <c r="P176" s="8">
        <f>SUM(Posts[[#This Row],[Likes]:[Comments]])</f>
        <v>3123</v>
      </c>
    </row>
    <row r="177" spans="1:16" x14ac:dyDescent="0.25">
      <c r="A177" s="6" t="s">
        <v>235</v>
      </c>
      <c r="B177" s="6" t="s">
        <v>11</v>
      </c>
      <c r="C177" s="9">
        <v>45475</v>
      </c>
      <c r="D177" s="6" t="s">
        <v>48</v>
      </c>
      <c r="E177" s="6" t="s">
        <v>65</v>
      </c>
      <c r="F177" s="7">
        <v>3469</v>
      </c>
      <c r="G177" s="7">
        <v>371</v>
      </c>
      <c r="H177" s="7">
        <v>76</v>
      </c>
      <c r="I177" s="7">
        <v>46493</v>
      </c>
      <c r="J177" s="28">
        <f>(Posts[[#This Row],[Likes]]+Posts[[#This Row],[Shares]]+Posts[[#This Row],[Comments]])/Posts[[#This Row],[Impressions]]</f>
        <v>8.4227733207149463E-2</v>
      </c>
      <c r="K177" s="7">
        <v>26906</v>
      </c>
      <c r="L177" s="7">
        <v>150</v>
      </c>
      <c r="M177" s="6" t="s">
        <v>22</v>
      </c>
      <c r="N177" s="6" t="s">
        <v>18</v>
      </c>
      <c r="O177" s="6" t="s">
        <v>19</v>
      </c>
      <c r="P177" s="8">
        <f>SUM(Posts[[#This Row],[Likes]:[Comments]])</f>
        <v>3916</v>
      </c>
    </row>
    <row r="178" spans="1:16" x14ac:dyDescent="0.25">
      <c r="A178" s="6" t="s">
        <v>236</v>
      </c>
      <c r="B178" s="6" t="s">
        <v>17</v>
      </c>
      <c r="C178" s="9">
        <v>45606</v>
      </c>
      <c r="D178" s="6" t="s">
        <v>48</v>
      </c>
      <c r="E178" s="6" t="s">
        <v>51</v>
      </c>
      <c r="F178" s="7">
        <v>4823</v>
      </c>
      <c r="G178" s="7">
        <v>489</v>
      </c>
      <c r="H178" s="7">
        <v>302</v>
      </c>
      <c r="I178" s="7">
        <v>32470</v>
      </c>
      <c r="J178" s="28">
        <f>(Posts[[#This Row],[Likes]]+Posts[[#This Row],[Shares]]+Posts[[#This Row],[Comments]])/Posts[[#This Row],[Impressions]]</f>
        <v>0.1728980597474592</v>
      </c>
      <c r="K178" s="7">
        <v>31861</v>
      </c>
      <c r="L178" s="7">
        <v>178</v>
      </c>
      <c r="M178" s="6" t="s">
        <v>22</v>
      </c>
      <c r="N178" s="6"/>
      <c r="O178" s="6" t="s">
        <v>23</v>
      </c>
      <c r="P178" s="8">
        <f>SUM(Posts[[#This Row],[Likes]:[Comments]])</f>
        <v>5614</v>
      </c>
    </row>
    <row r="179" spans="1:16" x14ac:dyDescent="0.25">
      <c r="A179" s="6" t="s">
        <v>237</v>
      </c>
      <c r="B179" s="6" t="s">
        <v>11</v>
      </c>
      <c r="C179" s="9">
        <v>45640</v>
      </c>
      <c r="D179" s="6" t="s">
        <v>53</v>
      </c>
      <c r="E179" s="6" t="s">
        <v>71</v>
      </c>
      <c r="F179" s="7">
        <v>3812</v>
      </c>
      <c r="G179" s="7">
        <v>321</v>
      </c>
      <c r="H179" s="7">
        <v>289</v>
      </c>
      <c r="I179" s="7">
        <v>59838</v>
      </c>
      <c r="J179" s="28">
        <f>(Posts[[#This Row],[Likes]]+Posts[[#This Row],[Shares]]+Posts[[#This Row],[Comments]])/Posts[[#This Row],[Impressions]]</f>
        <v>7.3899528727564417E-2</v>
      </c>
      <c r="K179" s="7">
        <v>36337</v>
      </c>
      <c r="L179" s="7">
        <v>161</v>
      </c>
      <c r="M179" s="6" t="s">
        <v>18</v>
      </c>
      <c r="N179" s="6"/>
      <c r="O179" s="6" t="s">
        <v>15</v>
      </c>
      <c r="P179" s="8">
        <f>SUM(Posts[[#This Row],[Likes]:[Comments]])</f>
        <v>4422</v>
      </c>
    </row>
    <row r="180" spans="1:16" x14ac:dyDescent="0.25">
      <c r="A180" s="6" t="s">
        <v>238</v>
      </c>
      <c r="B180" s="6" t="s">
        <v>17</v>
      </c>
      <c r="C180" s="9">
        <v>45615</v>
      </c>
      <c r="D180" s="6" t="s">
        <v>48</v>
      </c>
      <c r="E180" s="6" t="s">
        <v>51</v>
      </c>
      <c r="F180" s="7">
        <v>2387</v>
      </c>
      <c r="G180" s="7">
        <v>353</v>
      </c>
      <c r="H180" s="7">
        <v>78</v>
      </c>
      <c r="I180" s="7">
        <v>39745</v>
      </c>
      <c r="J180" s="28">
        <f>(Posts[[#This Row],[Likes]]+Posts[[#This Row],[Shares]]+Posts[[#This Row],[Comments]])/Posts[[#This Row],[Impressions]]</f>
        <v>7.090200025160398E-2</v>
      </c>
      <c r="K180" s="7">
        <v>69226</v>
      </c>
      <c r="L180" s="7">
        <v>208</v>
      </c>
      <c r="M180" s="6" t="s">
        <v>22</v>
      </c>
      <c r="N180" s="6"/>
      <c r="O180" s="6" t="s">
        <v>23</v>
      </c>
      <c r="P180" s="8">
        <f>SUM(Posts[[#This Row],[Likes]:[Comments]])</f>
        <v>2818</v>
      </c>
    </row>
    <row r="181" spans="1:16" x14ac:dyDescent="0.25">
      <c r="A181" s="6" t="s">
        <v>239</v>
      </c>
      <c r="B181" s="6" t="s">
        <v>17</v>
      </c>
      <c r="C181" s="9">
        <v>45777</v>
      </c>
      <c r="D181" s="6" t="s">
        <v>53</v>
      </c>
      <c r="E181" s="6" t="s">
        <v>56</v>
      </c>
      <c r="F181" s="7">
        <v>3929</v>
      </c>
      <c r="G181" s="7">
        <v>275</v>
      </c>
      <c r="H181" s="7">
        <v>330</v>
      </c>
      <c r="I181" s="7">
        <v>58329</v>
      </c>
      <c r="J181" s="28">
        <f>(Posts[[#This Row],[Likes]]+Posts[[#This Row],[Shares]]+Posts[[#This Row],[Comments]])/Posts[[#This Row],[Impressions]]</f>
        <v>7.7731488624869283E-2</v>
      </c>
      <c r="K181" s="7">
        <v>33196</v>
      </c>
      <c r="L181" s="7">
        <v>85</v>
      </c>
      <c r="M181" s="6" t="s">
        <v>14</v>
      </c>
      <c r="N181" s="6" t="s">
        <v>18</v>
      </c>
      <c r="O181" s="6" t="s">
        <v>19</v>
      </c>
      <c r="P181" s="8">
        <f>SUM(Posts[[#This Row],[Likes]:[Comments]])</f>
        <v>4534</v>
      </c>
    </row>
    <row r="182" spans="1:16" x14ac:dyDescent="0.25">
      <c r="A182" s="6" t="s">
        <v>240</v>
      </c>
      <c r="B182" s="6" t="s">
        <v>17</v>
      </c>
      <c r="C182" s="9">
        <v>45370</v>
      </c>
      <c r="D182" s="6" t="s">
        <v>48</v>
      </c>
      <c r="E182" s="6" t="s">
        <v>71</v>
      </c>
      <c r="F182" s="7">
        <v>2191</v>
      </c>
      <c r="G182" s="7">
        <v>288</v>
      </c>
      <c r="H182" s="7">
        <v>83</v>
      </c>
      <c r="I182" s="7">
        <v>59606</v>
      </c>
      <c r="J182" s="28">
        <f>(Posts[[#This Row],[Likes]]+Posts[[#This Row],[Shares]]+Posts[[#This Row],[Comments]])/Posts[[#This Row],[Impressions]]</f>
        <v>4.2982250109049422E-2</v>
      </c>
      <c r="K182" s="7">
        <v>24765</v>
      </c>
      <c r="L182" s="7">
        <v>281</v>
      </c>
      <c r="M182" s="6" t="s">
        <v>22</v>
      </c>
      <c r="N182" s="6"/>
      <c r="O182" s="6" t="s">
        <v>23</v>
      </c>
      <c r="P182" s="8">
        <f>SUM(Posts[[#This Row],[Likes]:[Comments]])</f>
        <v>2562</v>
      </c>
    </row>
    <row r="183" spans="1:16" x14ac:dyDescent="0.25">
      <c r="A183" s="6" t="s">
        <v>241</v>
      </c>
      <c r="B183" s="6" t="s">
        <v>11</v>
      </c>
      <c r="C183" s="9">
        <v>45370</v>
      </c>
      <c r="D183" s="6" t="s">
        <v>48</v>
      </c>
      <c r="E183" s="6" t="s">
        <v>71</v>
      </c>
      <c r="F183" s="7">
        <v>2878</v>
      </c>
      <c r="G183" s="7">
        <v>278</v>
      </c>
      <c r="H183" s="7">
        <v>255</v>
      </c>
      <c r="I183" s="7">
        <v>47235</v>
      </c>
      <c r="J183" s="28">
        <f>(Posts[[#This Row],[Likes]]+Posts[[#This Row],[Shares]]+Posts[[#This Row],[Comments]])/Posts[[#This Row],[Impressions]]</f>
        <v>7.2213401079707848E-2</v>
      </c>
      <c r="K183" s="7">
        <v>57922</v>
      </c>
      <c r="L183" s="7">
        <v>112</v>
      </c>
      <c r="M183" s="6" t="s">
        <v>22</v>
      </c>
      <c r="N183" s="6" t="s">
        <v>18</v>
      </c>
      <c r="O183" s="6" t="s">
        <v>19</v>
      </c>
      <c r="P183" s="8">
        <f>SUM(Posts[[#This Row],[Likes]:[Comments]])</f>
        <v>3411</v>
      </c>
    </row>
    <row r="184" spans="1:16" x14ac:dyDescent="0.25">
      <c r="A184" s="6" t="s">
        <v>242</v>
      </c>
      <c r="B184" s="6" t="s">
        <v>17</v>
      </c>
      <c r="C184" s="9">
        <v>45496</v>
      </c>
      <c r="D184" s="6" t="s">
        <v>48</v>
      </c>
      <c r="E184" s="6" t="s">
        <v>65</v>
      </c>
      <c r="F184" s="7">
        <v>3204</v>
      </c>
      <c r="G184" s="7">
        <v>398</v>
      </c>
      <c r="H184" s="7">
        <v>85</v>
      </c>
      <c r="I184" s="7">
        <v>22020</v>
      </c>
      <c r="J184" s="28">
        <f>(Posts[[#This Row],[Likes]]+Posts[[#This Row],[Shares]]+Posts[[#This Row],[Comments]])/Posts[[#This Row],[Impressions]]</f>
        <v>0.16743869209809265</v>
      </c>
      <c r="K184" s="7">
        <v>58353</v>
      </c>
      <c r="L184" s="7">
        <v>286</v>
      </c>
      <c r="M184" s="6" t="s">
        <v>22</v>
      </c>
      <c r="N184" s="6"/>
      <c r="O184" s="6" t="s">
        <v>23</v>
      </c>
      <c r="P184" s="8">
        <f>SUM(Posts[[#This Row],[Likes]:[Comments]])</f>
        <v>3687</v>
      </c>
    </row>
    <row r="185" spans="1:16" x14ac:dyDescent="0.25">
      <c r="A185" s="6" t="s">
        <v>243</v>
      </c>
      <c r="B185" s="6" t="s">
        <v>17</v>
      </c>
      <c r="C185" s="9">
        <v>45486</v>
      </c>
      <c r="D185" s="6" t="s">
        <v>53</v>
      </c>
      <c r="E185" s="6" t="s">
        <v>62</v>
      </c>
      <c r="F185" s="7">
        <v>2408</v>
      </c>
      <c r="G185" s="7">
        <v>323</v>
      </c>
      <c r="H185" s="7">
        <v>251</v>
      </c>
      <c r="I185" s="7">
        <v>47599</v>
      </c>
      <c r="J185" s="28">
        <f>(Posts[[#This Row],[Likes]]+Posts[[#This Row],[Shares]]+Posts[[#This Row],[Comments]])/Posts[[#This Row],[Impressions]]</f>
        <v>6.2648374965860634E-2</v>
      </c>
      <c r="K185" s="7">
        <v>35543</v>
      </c>
      <c r="L185" s="7">
        <v>287</v>
      </c>
      <c r="M185" s="6" t="s">
        <v>14</v>
      </c>
      <c r="N185" s="6" t="s">
        <v>18</v>
      </c>
      <c r="O185" s="6" t="s">
        <v>19</v>
      </c>
      <c r="P185" s="8">
        <f>SUM(Posts[[#This Row],[Likes]:[Comments]])</f>
        <v>2982</v>
      </c>
    </row>
    <row r="186" spans="1:16" x14ac:dyDescent="0.25">
      <c r="A186" s="6" t="s">
        <v>244</v>
      </c>
      <c r="B186" s="6" t="s">
        <v>12</v>
      </c>
      <c r="C186" s="9">
        <v>45769</v>
      </c>
      <c r="D186" s="6" t="s">
        <v>78</v>
      </c>
      <c r="E186" s="6" t="s">
        <v>54</v>
      </c>
      <c r="F186" s="7">
        <v>2733</v>
      </c>
      <c r="G186" s="7">
        <v>297</v>
      </c>
      <c r="H186" s="7">
        <v>235</v>
      </c>
      <c r="I186" s="7">
        <v>37980</v>
      </c>
      <c r="J186" s="28">
        <f>(Posts[[#This Row],[Likes]]+Posts[[#This Row],[Shares]]+Posts[[#This Row],[Comments]])/Posts[[#This Row],[Impressions]]</f>
        <v>8.5966298051606105E-2</v>
      </c>
      <c r="K186" s="7">
        <v>33058</v>
      </c>
      <c r="L186" s="7">
        <v>219</v>
      </c>
      <c r="M186" s="6" t="s">
        <v>26</v>
      </c>
      <c r="N186" s="6" t="s">
        <v>22</v>
      </c>
      <c r="O186" s="6" t="s">
        <v>9</v>
      </c>
      <c r="P186" s="8">
        <f>SUM(Posts[[#This Row],[Likes]:[Comments]])</f>
        <v>3265</v>
      </c>
    </row>
    <row r="187" spans="1:16" x14ac:dyDescent="0.25">
      <c r="A187" s="6" t="s">
        <v>245</v>
      </c>
      <c r="B187" s="6" t="s">
        <v>17</v>
      </c>
      <c r="C187" s="9">
        <v>45459</v>
      </c>
      <c r="D187" s="6" t="s">
        <v>53</v>
      </c>
      <c r="E187" s="6" t="s">
        <v>51</v>
      </c>
      <c r="F187" s="7">
        <v>4618</v>
      </c>
      <c r="G187" s="7">
        <v>312</v>
      </c>
      <c r="H187" s="7">
        <v>254</v>
      </c>
      <c r="I187" s="7">
        <v>22571</v>
      </c>
      <c r="J187" s="28">
        <f>(Posts[[#This Row],[Likes]]+Posts[[#This Row],[Shares]]+Posts[[#This Row],[Comments]])/Posts[[#This Row],[Impressions]]</f>
        <v>0.22967524699836073</v>
      </c>
      <c r="K187" s="7">
        <v>29453</v>
      </c>
      <c r="L187" s="7">
        <v>197</v>
      </c>
      <c r="M187" s="6" t="s">
        <v>14</v>
      </c>
      <c r="N187" s="6" t="s">
        <v>18</v>
      </c>
      <c r="O187" s="6" t="s">
        <v>19</v>
      </c>
      <c r="P187" s="8">
        <f>SUM(Posts[[#This Row],[Likes]:[Comments]])</f>
        <v>5184</v>
      </c>
    </row>
    <row r="188" spans="1:16" x14ac:dyDescent="0.25">
      <c r="A188" s="6" t="s">
        <v>246</v>
      </c>
      <c r="B188" s="6" t="s">
        <v>12</v>
      </c>
      <c r="C188" s="9">
        <v>45795</v>
      </c>
      <c r="D188" s="6" t="s">
        <v>78</v>
      </c>
      <c r="E188" s="6" t="s">
        <v>56</v>
      </c>
      <c r="F188" s="7">
        <v>4210</v>
      </c>
      <c r="G188" s="7">
        <v>319</v>
      </c>
      <c r="H188" s="7">
        <v>350</v>
      </c>
      <c r="I188" s="7">
        <v>37762</v>
      </c>
      <c r="J188" s="28">
        <f>(Posts[[#This Row],[Likes]]+Posts[[#This Row],[Shares]]+Posts[[#This Row],[Comments]])/Posts[[#This Row],[Impressions]]</f>
        <v>0.12920396165457337</v>
      </c>
      <c r="K188" s="7">
        <v>55162</v>
      </c>
      <c r="L188" s="7">
        <v>204</v>
      </c>
      <c r="M188" s="6" t="s">
        <v>26</v>
      </c>
      <c r="N188" s="6" t="s">
        <v>22</v>
      </c>
      <c r="O188" s="6" t="s">
        <v>9</v>
      </c>
      <c r="P188" s="8">
        <f>SUM(Posts[[#This Row],[Likes]:[Comments]])</f>
        <v>4879</v>
      </c>
    </row>
    <row r="189" spans="1:16" x14ac:dyDescent="0.25">
      <c r="A189" s="6" t="s">
        <v>247</v>
      </c>
      <c r="B189" s="6" t="s">
        <v>11</v>
      </c>
      <c r="C189" s="9">
        <v>45814</v>
      </c>
      <c r="D189" s="6" t="s">
        <v>48</v>
      </c>
      <c r="E189" s="6" t="s">
        <v>56</v>
      </c>
      <c r="F189" s="7">
        <v>3987</v>
      </c>
      <c r="G189" s="7">
        <v>171</v>
      </c>
      <c r="H189" s="7">
        <v>274</v>
      </c>
      <c r="I189" s="7">
        <v>45122</v>
      </c>
      <c r="J189" s="28">
        <f>(Posts[[#This Row],[Likes]]+Posts[[#This Row],[Shares]]+Posts[[#This Row],[Comments]])/Posts[[#This Row],[Impressions]]</f>
        <v>9.8222596516111871E-2</v>
      </c>
      <c r="K189" s="7">
        <v>65431</v>
      </c>
      <c r="L189" s="7">
        <v>168</v>
      </c>
      <c r="M189" s="6" t="s">
        <v>26</v>
      </c>
      <c r="N189" s="6"/>
      <c r="O189" s="6" t="s">
        <v>23</v>
      </c>
      <c r="P189" s="8">
        <f>SUM(Posts[[#This Row],[Likes]:[Comments]])</f>
        <v>4432</v>
      </c>
    </row>
    <row r="190" spans="1:16" x14ac:dyDescent="0.25">
      <c r="A190" s="6" t="s">
        <v>248</v>
      </c>
      <c r="B190" s="6" t="s">
        <v>12</v>
      </c>
      <c r="C190" s="9">
        <v>45708</v>
      </c>
      <c r="D190" s="6" t="s">
        <v>78</v>
      </c>
      <c r="E190" s="6" t="s">
        <v>62</v>
      </c>
      <c r="F190" s="7">
        <v>4957</v>
      </c>
      <c r="G190" s="7">
        <v>262</v>
      </c>
      <c r="H190" s="7">
        <v>365</v>
      </c>
      <c r="I190" s="7">
        <v>49199</v>
      </c>
      <c r="J190" s="28">
        <f>(Posts[[#This Row],[Likes]]+Posts[[#This Row],[Shares]]+Posts[[#This Row],[Comments]])/Posts[[#This Row],[Impressions]]</f>
        <v>0.11349824183418362</v>
      </c>
      <c r="K190" s="7">
        <v>40314</v>
      </c>
      <c r="L190" s="7">
        <v>216</v>
      </c>
      <c r="M190" s="6" t="s">
        <v>26</v>
      </c>
      <c r="N190" s="6" t="s">
        <v>22</v>
      </c>
      <c r="O190" s="6" t="s">
        <v>9</v>
      </c>
      <c r="P190" s="8">
        <f>SUM(Posts[[#This Row],[Likes]:[Comments]])</f>
        <v>5584</v>
      </c>
    </row>
    <row r="191" spans="1:16" x14ac:dyDescent="0.25">
      <c r="A191" s="6" t="s">
        <v>249</v>
      </c>
      <c r="B191" s="6" t="s">
        <v>11</v>
      </c>
      <c r="C191" s="9">
        <v>45673</v>
      </c>
      <c r="D191" s="6" t="s">
        <v>48</v>
      </c>
      <c r="E191" s="6" t="s">
        <v>58</v>
      </c>
      <c r="F191" s="7">
        <v>2605</v>
      </c>
      <c r="G191" s="7">
        <v>282</v>
      </c>
      <c r="H191" s="7">
        <v>148</v>
      </c>
      <c r="I191" s="7">
        <v>32201</v>
      </c>
      <c r="J191" s="28">
        <f>(Posts[[#This Row],[Likes]]+Posts[[#This Row],[Shares]]+Posts[[#This Row],[Comments]])/Posts[[#This Row],[Impressions]]</f>
        <v>9.4251731312692155E-2</v>
      </c>
      <c r="K191" s="7">
        <v>49583</v>
      </c>
      <c r="L191" s="7">
        <v>241</v>
      </c>
      <c r="M191" s="6" t="s">
        <v>22</v>
      </c>
      <c r="N191" s="6" t="s">
        <v>18</v>
      </c>
      <c r="O191" s="6" t="s">
        <v>19</v>
      </c>
      <c r="P191" s="8">
        <f>SUM(Posts[[#This Row],[Likes]:[Comments]])</f>
        <v>3035</v>
      </c>
    </row>
    <row r="192" spans="1:16" x14ac:dyDescent="0.25">
      <c r="A192" s="6" t="s">
        <v>250</v>
      </c>
      <c r="B192" s="6" t="s">
        <v>12</v>
      </c>
      <c r="C192" s="9">
        <v>45346</v>
      </c>
      <c r="D192" s="6" t="s">
        <v>78</v>
      </c>
      <c r="E192" s="6" t="s">
        <v>49</v>
      </c>
      <c r="F192" s="7">
        <v>4221</v>
      </c>
      <c r="G192" s="7">
        <v>307</v>
      </c>
      <c r="H192" s="7">
        <v>58</v>
      </c>
      <c r="I192" s="7">
        <v>45080</v>
      </c>
      <c r="J192" s="28">
        <f>(Posts[[#This Row],[Likes]]+Posts[[#This Row],[Shares]]+Posts[[#This Row],[Comments]])/Posts[[#This Row],[Impressions]]</f>
        <v>0.10173025732031943</v>
      </c>
      <c r="K192" s="7">
        <v>37214</v>
      </c>
      <c r="L192" s="7">
        <v>240</v>
      </c>
      <c r="M192" s="6" t="s">
        <v>26</v>
      </c>
      <c r="N192" s="6" t="s">
        <v>22</v>
      </c>
      <c r="O192" s="6" t="s">
        <v>9</v>
      </c>
      <c r="P192" s="8">
        <f>SUM(Posts[[#This Row],[Likes]:[Comments]])</f>
        <v>4586</v>
      </c>
    </row>
    <row r="193" spans="1:16" x14ac:dyDescent="0.25">
      <c r="A193" s="6" t="s">
        <v>251</v>
      </c>
      <c r="B193" s="6" t="s">
        <v>17</v>
      </c>
      <c r="C193" s="9">
        <v>45551</v>
      </c>
      <c r="D193" s="6" t="s">
        <v>53</v>
      </c>
      <c r="E193" s="6" t="s">
        <v>60</v>
      </c>
      <c r="F193" s="7">
        <v>4422</v>
      </c>
      <c r="G193" s="7">
        <v>434</v>
      </c>
      <c r="H193" s="7">
        <v>156</v>
      </c>
      <c r="I193" s="7">
        <v>56165</v>
      </c>
      <c r="J193" s="28">
        <f>(Posts[[#This Row],[Likes]]+Posts[[#This Row],[Shares]]+Posts[[#This Row],[Comments]])/Posts[[#This Row],[Impressions]]</f>
        <v>8.9237069349238848E-2</v>
      </c>
      <c r="K193" s="7">
        <v>52431</v>
      </c>
      <c r="L193" s="7">
        <v>173</v>
      </c>
      <c r="M193" s="6" t="s">
        <v>26</v>
      </c>
      <c r="N193" s="6" t="s">
        <v>14</v>
      </c>
      <c r="O193" s="6" t="s">
        <v>19</v>
      </c>
      <c r="P193" s="8">
        <f>SUM(Posts[[#This Row],[Likes]:[Comments]])</f>
        <v>5012</v>
      </c>
    </row>
    <row r="194" spans="1:16" x14ac:dyDescent="0.25">
      <c r="A194" s="6" t="s">
        <v>252</v>
      </c>
      <c r="B194" s="6" t="s">
        <v>12</v>
      </c>
      <c r="C194" s="9">
        <v>45447</v>
      </c>
      <c r="D194" s="6" t="s">
        <v>78</v>
      </c>
      <c r="E194" s="6" t="s">
        <v>56</v>
      </c>
      <c r="F194" s="7">
        <v>1211</v>
      </c>
      <c r="G194" s="7">
        <v>431</v>
      </c>
      <c r="H194" s="7">
        <v>83</v>
      </c>
      <c r="I194" s="7">
        <v>26532</v>
      </c>
      <c r="J194" s="28">
        <f>(Posts[[#This Row],[Likes]]+Posts[[#This Row],[Shares]]+Posts[[#This Row],[Comments]])/Posts[[#This Row],[Impressions]]</f>
        <v>6.5015829941203071E-2</v>
      </c>
      <c r="K194" s="7">
        <v>47305</v>
      </c>
      <c r="L194" s="7">
        <v>232</v>
      </c>
      <c r="M194" s="6" t="s">
        <v>26</v>
      </c>
      <c r="N194" s="6" t="s">
        <v>22</v>
      </c>
      <c r="O194" s="6" t="s">
        <v>9</v>
      </c>
      <c r="P194" s="8">
        <f>SUM(Posts[[#This Row],[Likes]:[Comments]])</f>
        <v>1725</v>
      </c>
    </row>
    <row r="195" spans="1:16" x14ac:dyDescent="0.25">
      <c r="A195" s="6" t="s">
        <v>253</v>
      </c>
      <c r="B195" s="6" t="s">
        <v>17</v>
      </c>
      <c r="C195" s="9">
        <v>45422</v>
      </c>
      <c r="D195" s="6" t="s">
        <v>53</v>
      </c>
      <c r="E195" s="6" t="s">
        <v>51</v>
      </c>
      <c r="F195" s="7">
        <v>2784</v>
      </c>
      <c r="G195" s="7">
        <v>111</v>
      </c>
      <c r="H195" s="7">
        <v>399</v>
      </c>
      <c r="I195" s="7">
        <v>58366</v>
      </c>
      <c r="J195" s="28">
        <f>(Posts[[#This Row],[Likes]]+Posts[[#This Row],[Shares]]+Posts[[#This Row],[Comments]])/Posts[[#This Row],[Impressions]]</f>
        <v>5.6436966727204191E-2</v>
      </c>
      <c r="K195" s="7">
        <v>69512</v>
      </c>
      <c r="L195" s="7">
        <v>269</v>
      </c>
      <c r="M195" s="6" t="s">
        <v>14</v>
      </c>
      <c r="N195" s="6" t="s">
        <v>18</v>
      </c>
      <c r="O195" s="6" t="s">
        <v>19</v>
      </c>
      <c r="P195" s="8">
        <f>SUM(Posts[[#This Row],[Likes]:[Comments]])</f>
        <v>3294</v>
      </c>
    </row>
    <row r="196" spans="1:16" x14ac:dyDescent="0.25">
      <c r="A196" s="6" t="s">
        <v>254</v>
      </c>
      <c r="B196" s="6" t="s">
        <v>12</v>
      </c>
      <c r="C196" s="9">
        <v>45305</v>
      </c>
      <c r="D196" s="6" t="s">
        <v>48</v>
      </c>
      <c r="E196" s="6" t="s">
        <v>54</v>
      </c>
      <c r="F196" s="7">
        <v>3634</v>
      </c>
      <c r="G196" s="7">
        <v>280</v>
      </c>
      <c r="H196" s="7">
        <v>399</v>
      </c>
      <c r="I196" s="7">
        <v>40256</v>
      </c>
      <c r="J196" s="28">
        <f>(Posts[[#This Row],[Likes]]+Posts[[#This Row],[Shares]]+Posts[[#This Row],[Comments]])/Posts[[#This Row],[Impressions]]</f>
        <v>0.10713930842607314</v>
      </c>
      <c r="K196" s="7">
        <v>52605</v>
      </c>
      <c r="L196" s="7">
        <v>213</v>
      </c>
      <c r="M196" s="6" t="s">
        <v>26</v>
      </c>
      <c r="N196" s="6" t="s">
        <v>13</v>
      </c>
      <c r="O196" s="6" t="s">
        <v>23</v>
      </c>
      <c r="P196" s="8">
        <f>SUM(Posts[[#This Row],[Likes]:[Comments]])</f>
        <v>4313</v>
      </c>
    </row>
    <row r="197" spans="1:16" x14ac:dyDescent="0.25">
      <c r="A197" s="6" t="s">
        <v>255</v>
      </c>
      <c r="B197" s="6" t="s">
        <v>11</v>
      </c>
      <c r="C197" s="9">
        <v>45669</v>
      </c>
      <c r="D197" s="6" t="s">
        <v>48</v>
      </c>
      <c r="E197" s="6" t="s">
        <v>71</v>
      </c>
      <c r="F197" s="7">
        <v>1771</v>
      </c>
      <c r="G197" s="7">
        <v>487</v>
      </c>
      <c r="H197" s="7">
        <v>272</v>
      </c>
      <c r="I197" s="7">
        <v>48810</v>
      </c>
      <c r="J197" s="28">
        <f>(Posts[[#This Row],[Likes]]+Posts[[#This Row],[Shares]]+Posts[[#This Row],[Comments]])/Posts[[#This Row],[Impressions]]</f>
        <v>5.1833640647408315E-2</v>
      </c>
      <c r="K197" s="7">
        <v>48084</v>
      </c>
      <c r="L197" s="7">
        <v>272</v>
      </c>
      <c r="M197" s="6" t="s">
        <v>22</v>
      </c>
      <c r="N197" s="6" t="s">
        <v>18</v>
      </c>
      <c r="O197" s="6" t="s">
        <v>19</v>
      </c>
      <c r="P197" s="8">
        <f>SUM(Posts[[#This Row],[Likes]:[Comments]])</f>
        <v>2530</v>
      </c>
    </row>
    <row r="198" spans="1:16" x14ac:dyDescent="0.25">
      <c r="A198" s="6" t="s">
        <v>256</v>
      </c>
      <c r="B198" s="6" t="s">
        <v>12</v>
      </c>
      <c r="C198" s="9">
        <v>45634</v>
      </c>
      <c r="D198" s="6" t="s">
        <v>48</v>
      </c>
      <c r="E198" s="6" t="s">
        <v>65</v>
      </c>
      <c r="F198" s="7">
        <v>1424</v>
      </c>
      <c r="G198" s="7">
        <v>396</v>
      </c>
      <c r="H198" s="7">
        <v>312</v>
      </c>
      <c r="I198" s="7">
        <v>59517</v>
      </c>
      <c r="J198" s="28">
        <f>(Posts[[#This Row],[Likes]]+Posts[[#This Row],[Shares]]+Posts[[#This Row],[Comments]])/Posts[[#This Row],[Impressions]]</f>
        <v>3.5821698002251455E-2</v>
      </c>
      <c r="K198" s="7">
        <v>46102</v>
      </c>
      <c r="L198" s="7">
        <v>239</v>
      </c>
      <c r="M198" s="6" t="s">
        <v>26</v>
      </c>
      <c r="N198" s="6" t="s">
        <v>13</v>
      </c>
      <c r="O198" s="6" t="s">
        <v>23</v>
      </c>
      <c r="P198" s="8">
        <f>SUM(Posts[[#This Row],[Likes]:[Comments]])</f>
        <v>2132</v>
      </c>
    </row>
    <row r="199" spans="1:16" x14ac:dyDescent="0.25">
      <c r="A199" s="6" t="s">
        <v>257</v>
      </c>
      <c r="B199" s="6" t="s">
        <v>17</v>
      </c>
      <c r="C199" s="9">
        <v>45689</v>
      </c>
      <c r="D199" s="6" t="s">
        <v>53</v>
      </c>
      <c r="E199" s="6" t="s">
        <v>65</v>
      </c>
      <c r="F199" s="7">
        <v>1079</v>
      </c>
      <c r="G199" s="7">
        <v>265</v>
      </c>
      <c r="H199" s="7">
        <v>190</v>
      </c>
      <c r="I199" s="7">
        <v>43786</v>
      </c>
      <c r="J199" s="28">
        <f>(Posts[[#This Row],[Likes]]+Posts[[#This Row],[Shares]]+Posts[[#This Row],[Comments]])/Posts[[#This Row],[Impressions]]</f>
        <v>3.5034029141734799E-2</v>
      </c>
      <c r="K199" s="7">
        <v>72428</v>
      </c>
      <c r="L199" s="7">
        <v>222</v>
      </c>
      <c r="M199" s="6" t="s">
        <v>22</v>
      </c>
      <c r="N199" s="6" t="s">
        <v>18</v>
      </c>
      <c r="O199" s="6" t="s">
        <v>19</v>
      </c>
      <c r="P199" s="8">
        <f>SUM(Posts[[#This Row],[Likes]:[Comments]])</f>
        <v>1534</v>
      </c>
    </row>
    <row r="200" spans="1:16" x14ac:dyDescent="0.25">
      <c r="A200" s="6" t="s">
        <v>258</v>
      </c>
      <c r="B200" s="6" t="s">
        <v>17</v>
      </c>
      <c r="C200" s="9">
        <v>45484</v>
      </c>
      <c r="D200" s="6" t="s">
        <v>53</v>
      </c>
      <c r="E200" s="6" t="s">
        <v>62</v>
      </c>
      <c r="F200" s="7">
        <v>4247</v>
      </c>
      <c r="G200" s="7">
        <v>179</v>
      </c>
      <c r="H200" s="7">
        <v>175</v>
      </c>
      <c r="I200" s="7">
        <v>32991</v>
      </c>
      <c r="J200" s="28">
        <f>(Posts[[#This Row],[Likes]]+Posts[[#This Row],[Shares]]+Posts[[#This Row],[Comments]])/Posts[[#This Row],[Impressions]]</f>
        <v>0.13946227759085811</v>
      </c>
      <c r="K200" s="7">
        <v>70120</v>
      </c>
      <c r="L200" s="7">
        <v>276</v>
      </c>
      <c r="M200" s="6" t="s">
        <v>22</v>
      </c>
      <c r="N200" s="6" t="s">
        <v>18</v>
      </c>
      <c r="O200" s="6" t="s">
        <v>19</v>
      </c>
      <c r="P200" s="8">
        <f>SUM(Posts[[#This Row],[Likes]:[Comments]])</f>
        <v>4601</v>
      </c>
    </row>
    <row r="201" spans="1:16" x14ac:dyDescent="0.25">
      <c r="A201" s="6" t="s">
        <v>259</v>
      </c>
      <c r="B201" s="6" t="s">
        <v>17</v>
      </c>
      <c r="C201" s="9">
        <v>45369</v>
      </c>
      <c r="D201" s="6" t="s">
        <v>48</v>
      </c>
      <c r="E201" s="6" t="s">
        <v>54</v>
      </c>
      <c r="F201" s="7">
        <v>2033</v>
      </c>
      <c r="G201" s="7">
        <v>420</v>
      </c>
      <c r="H201" s="7">
        <v>94</v>
      </c>
      <c r="I201" s="7">
        <v>56290</v>
      </c>
      <c r="J201" s="28">
        <f>(Posts[[#This Row],[Likes]]+Posts[[#This Row],[Shares]]+Posts[[#This Row],[Comments]])/Posts[[#This Row],[Impressions]]</f>
        <v>4.5247823769763724E-2</v>
      </c>
      <c r="K201" s="7">
        <v>57391</v>
      </c>
      <c r="L201" s="7">
        <v>196</v>
      </c>
      <c r="M201" s="6" t="s">
        <v>18</v>
      </c>
      <c r="N201" s="6"/>
      <c r="O201" s="6" t="s">
        <v>19</v>
      </c>
      <c r="P201" s="8">
        <f>SUM(Posts[[#This Row],[Likes]:[Comments]])</f>
        <v>2547</v>
      </c>
    </row>
    <row r="202" spans="1:16" x14ac:dyDescent="0.25">
      <c r="A202" s="6" t="s">
        <v>260</v>
      </c>
      <c r="B202" s="6" t="s">
        <v>17</v>
      </c>
      <c r="C202" s="9">
        <v>45547</v>
      </c>
      <c r="D202" s="6" t="s">
        <v>53</v>
      </c>
      <c r="E202" s="6" t="s">
        <v>56</v>
      </c>
      <c r="F202" s="7">
        <v>1839</v>
      </c>
      <c r="G202" s="7">
        <v>223</v>
      </c>
      <c r="H202" s="7">
        <v>171</v>
      </c>
      <c r="I202" s="7">
        <v>35459</v>
      </c>
      <c r="J202" s="28">
        <f>(Posts[[#This Row],[Likes]]+Posts[[#This Row],[Shares]]+Posts[[#This Row],[Comments]])/Posts[[#This Row],[Impressions]]</f>
        <v>6.2974139146620034E-2</v>
      </c>
      <c r="K202" s="7">
        <v>69988</v>
      </c>
      <c r="L202" s="7">
        <v>114</v>
      </c>
      <c r="M202" s="6" t="s">
        <v>14</v>
      </c>
      <c r="N202" s="6" t="s">
        <v>18</v>
      </c>
      <c r="O202" s="6" t="s">
        <v>19</v>
      </c>
      <c r="P202" s="8">
        <f>SUM(Posts[[#This Row],[Likes]:[Comments]])</f>
        <v>2233</v>
      </c>
    </row>
    <row r="203" spans="1:16" x14ac:dyDescent="0.25">
      <c r="A203" s="6" t="s">
        <v>261</v>
      </c>
      <c r="B203" s="6" t="s">
        <v>17</v>
      </c>
      <c r="C203" s="9">
        <v>45302</v>
      </c>
      <c r="D203" s="6" t="s">
        <v>53</v>
      </c>
      <c r="E203" s="6" t="s">
        <v>56</v>
      </c>
      <c r="F203" s="7">
        <v>2340</v>
      </c>
      <c r="G203" s="7">
        <v>141</v>
      </c>
      <c r="H203" s="7">
        <v>206</v>
      </c>
      <c r="I203" s="7">
        <v>24916</v>
      </c>
      <c r="J203" s="28">
        <f>(Posts[[#This Row],[Likes]]+Posts[[#This Row],[Shares]]+Posts[[#This Row],[Comments]])/Posts[[#This Row],[Impressions]]</f>
        <v>0.10784235029699792</v>
      </c>
      <c r="K203" s="7">
        <v>30582</v>
      </c>
      <c r="L203" s="7">
        <v>157</v>
      </c>
      <c r="M203" s="6" t="s">
        <v>22</v>
      </c>
      <c r="N203" s="6" t="s">
        <v>18</v>
      </c>
      <c r="O203" s="6" t="s">
        <v>19</v>
      </c>
      <c r="P203" s="8">
        <f>SUM(Posts[[#This Row],[Likes]:[Comments]])</f>
        <v>2687</v>
      </c>
    </row>
    <row r="204" spans="1:16" x14ac:dyDescent="0.25">
      <c r="A204" s="6" t="s">
        <v>262</v>
      </c>
      <c r="B204" s="6" t="s">
        <v>11</v>
      </c>
      <c r="C204" s="9">
        <v>45571</v>
      </c>
      <c r="D204" s="6" t="s">
        <v>48</v>
      </c>
      <c r="E204" s="6" t="s">
        <v>65</v>
      </c>
      <c r="F204" s="7">
        <v>2080</v>
      </c>
      <c r="G204" s="7">
        <v>389</v>
      </c>
      <c r="H204" s="7">
        <v>92</v>
      </c>
      <c r="I204" s="7">
        <v>30971</v>
      </c>
      <c r="J204" s="28">
        <f>(Posts[[#This Row],[Likes]]+Posts[[#This Row],[Shares]]+Posts[[#This Row],[Comments]])/Posts[[#This Row],[Impressions]]</f>
        <v>8.2690258629040073E-2</v>
      </c>
      <c r="K204" s="7">
        <v>25347</v>
      </c>
      <c r="L204" s="7">
        <v>111</v>
      </c>
      <c r="M204" s="6" t="s">
        <v>26</v>
      </c>
      <c r="N204" s="6"/>
      <c r="O204" s="6" t="s">
        <v>23</v>
      </c>
      <c r="P204" s="8">
        <f>SUM(Posts[[#This Row],[Likes]:[Comments]])</f>
        <v>2561</v>
      </c>
    </row>
    <row r="205" spans="1:16" x14ac:dyDescent="0.25">
      <c r="A205" s="6" t="s">
        <v>263</v>
      </c>
      <c r="B205" s="6" t="s">
        <v>17</v>
      </c>
      <c r="C205" s="9">
        <v>45656</v>
      </c>
      <c r="D205" s="6" t="s">
        <v>48</v>
      </c>
      <c r="E205" s="6" t="s">
        <v>62</v>
      </c>
      <c r="F205" s="7">
        <v>4214</v>
      </c>
      <c r="G205" s="7">
        <v>286</v>
      </c>
      <c r="H205" s="7">
        <v>127</v>
      </c>
      <c r="I205" s="7">
        <v>47293</v>
      </c>
      <c r="J205" s="28">
        <f>(Posts[[#This Row],[Likes]]+Posts[[#This Row],[Shares]]+Posts[[#This Row],[Comments]])/Posts[[#This Row],[Impressions]]</f>
        <v>9.7836889180216949E-2</v>
      </c>
      <c r="K205" s="7">
        <v>27184</v>
      </c>
      <c r="L205" s="7">
        <v>232</v>
      </c>
      <c r="M205" s="6" t="s">
        <v>18</v>
      </c>
      <c r="N205" s="6"/>
      <c r="O205" s="6" t="s">
        <v>19</v>
      </c>
      <c r="P205" s="8">
        <f>SUM(Posts[[#This Row],[Likes]:[Comments]])</f>
        <v>4627</v>
      </c>
    </row>
    <row r="206" spans="1:16" x14ac:dyDescent="0.25">
      <c r="A206" s="6" t="s">
        <v>264</v>
      </c>
      <c r="B206" s="6" t="s">
        <v>17</v>
      </c>
      <c r="C206" s="9">
        <v>45763</v>
      </c>
      <c r="D206" s="6" t="s">
        <v>48</v>
      </c>
      <c r="E206" s="6" t="s">
        <v>56</v>
      </c>
      <c r="F206" s="7">
        <v>3792</v>
      </c>
      <c r="G206" s="7">
        <v>315</v>
      </c>
      <c r="H206" s="7">
        <v>120</v>
      </c>
      <c r="I206" s="7">
        <v>54592</v>
      </c>
      <c r="J206" s="28">
        <f>(Posts[[#This Row],[Likes]]+Posts[[#This Row],[Shares]]+Posts[[#This Row],[Comments]])/Posts[[#This Row],[Impressions]]</f>
        <v>7.7428927315357568E-2</v>
      </c>
      <c r="K206" s="7">
        <v>67886</v>
      </c>
      <c r="L206" s="7">
        <v>117</v>
      </c>
      <c r="M206" s="6" t="s">
        <v>22</v>
      </c>
      <c r="N206" s="6"/>
      <c r="O206" s="6" t="s">
        <v>23</v>
      </c>
      <c r="P206" s="8">
        <f>SUM(Posts[[#This Row],[Likes]:[Comments]])</f>
        <v>4227</v>
      </c>
    </row>
    <row r="207" spans="1:16" x14ac:dyDescent="0.25">
      <c r="A207" s="6" t="s">
        <v>265</v>
      </c>
      <c r="B207" s="6" t="s">
        <v>17</v>
      </c>
      <c r="C207" s="9">
        <v>45525</v>
      </c>
      <c r="D207" s="6" t="s">
        <v>53</v>
      </c>
      <c r="E207" s="6" t="s">
        <v>51</v>
      </c>
      <c r="F207" s="7">
        <v>3989</v>
      </c>
      <c r="G207" s="7">
        <v>476</v>
      </c>
      <c r="H207" s="7">
        <v>128</v>
      </c>
      <c r="I207" s="7">
        <v>57569</v>
      </c>
      <c r="J207" s="28">
        <f>(Posts[[#This Row],[Likes]]+Posts[[#This Row],[Shares]]+Posts[[#This Row],[Comments]])/Posts[[#This Row],[Impressions]]</f>
        <v>7.9782521843353188E-2</v>
      </c>
      <c r="K207" s="7">
        <v>40193</v>
      </c>
      <c r="L207" s="7">
        <v>222</v>
      </c>
      <c r="M207" s="6" t="s">
        <v>26</v>
      </c>
      <c r="N207" s="6" t="s">
        <v>14</v>
      </c>
      <c r="O207" s="6" t="s">
        <v>19</v>
      </c>
      <c r="P207" s="8">
        <f>SUM(Posts[[#This Row],[Likes]:[Comments]])</f>
        <v>4593</v>
      </c>
    </row>
    <row r="208" spans="1:16" x14ac:dyDescent="0.25">
      <c r="A208" s="6" t="s">
        <v>266</v>
      </c>
      <c r="B208" s="6" t="s">
        <v>17</v>
      </c>
      <c r="C208" s="9">
        <v>45387</v>
      </c>
      <c r="D208" s="6" t="s">
        <v>53</v>
      </c>
      <c r="E208" s="6" t="s">
        <v>56</v>
      </c>
      <c r="F208" s="7">
        <v>2857</v>
      </c>
      <c r="G208" s="7">
        <v>443</v>
      </c>
      <c r="H208" s="7">
        <v>359</v>
      </c>
      <c r="I208" s="7">
        <v>51519</v>
      </c>
      <c r="J208" s="28">
        <f>(Posts[[#This Row],[Likes]]+Posts[[#This Row],[Shares]]+Posts[[#This Row],[Comments]])/Posts[[#This Row],[Impressions]]</f>
        <v>7.1022341272152026E-2</v>
      </c>
      <c r="K208" s="7">
        <v>28256</v>
      </c>
      <c r="L208" s="7">
        <v>155</v>
      </c>
      <c r="M208" s="6" t="s">
        <v>22</v>
      </c>
      <c r="N208" s="6" t="s">
        <v>18</v>
      </c>
      <c r="O208" s="6" t="s">
        <v>19</v>
      </c>
      <c r="P208" s="8">
        <f>SUM(Posts[[#This Row],[Likes]:[Comments]])</f>
        <v>3659</v>
      </c>
    </row>
    <row r="209" spans="1:16" x14ac:dyDescent="0.25">
      <c r="A209" s="6" t="s">
        <v>267</v>
      </c>
      <c r="B209" s="6" t="s">
        <v>17</v>
      </c>
      <c r="C209" s="9">
        <v>45754</v>
      </c>
      <c r="D209" s="6" t="s">
        <v>48</v>
      </c>
      <c r="E209" s="6" t="s">
        <v>71</v>
      </c>
      <c r="F209" s="7">
        <v>1403</v>
      </c>
      <c r="G209" s="7">
        <v>385</v>
      </c>
      <c r="H209" s="7">
        <v>344</v>
      </c>
      <c r="I209" s="7">
        <v>54223</v>
      </c>
      <c r="J209" s="28">
        <f>(Posts[[#This Row],[Likes]]+Posts[[#This Row],[Shares]]+Posts[[#This Row],[Comments]])/Posts[[#This Row],[Impressions]]</f>
        <v>3.9319108127547353E-2</v>
      </c>
      <c r="K209" s="7">
        <v>72595</v>
      </c>
      <c r="L209" s="7">
        <v>239</v>
      </c>
      <c r="M209" s="6" t="s">
        <v>22</v>
      </c>
      <c r="N209" s="6"/>
      <c r="O209" s="6" t="s">
        <v>23</v>
      </c>
      <c r="P209" s="8">
        <f>SUM(Posts[[#This Row],[Likes]:[Comments]])</f>
        <v>2132</v>
      </c>
    </row>
    <row r="210" spans="1:16" x14ac:dyDescent="0.25">
      <c r="A210" s="6" t="s">
        <v>268</v>
      </c>
      <c r="B210" s="6" t="s">
        <v>17</v>
      </c>
      <c r="C210" s="9">
        <v>45492</v>
      </c>
      <c r="D210" s="6" t="s">
        <v>53</v>
      </c>
      <c r="E210" s="6" t="s">
        <v>60</v>
      </c>
      <c r="F210" s="7">
        <v>3071</v>
      </c>
      <c r="G210" s="7">
        <v>126</v>
      </c>
      <c r="H210" s="7">
        <v>200</v>
      </c>
      <c r="I210" s="7">
        <v>44013</v>
      </c>
      <c r="J210" s="28">
        <f>(Posts[[#This Row],[Likes]]+Posts[[#This Row],[Shares]]+Posts[[#This Row],[Comments]])/Posts[[#This Row],[Impressions]]</f>
        <v>7.7181741758116915E-2</v>
      </c>
      <c r="K210" s="7">
        <v>44679</v>
      </c>
      <c r="L210" s="7">
        <v>118</v>
      </c>
      <c r="M210" s="6" t="s">
        <v>26</v>
      </c>
      <c r="N210" s="6" t="s">
        <v>14</v>
      </c>
      <c r="O210" s="6" t="s">
        <v>19</v>
      </c>
      <c r="P210" s="8">
        <f>SUM(Posts[[#This Row],[Likes]:[Comments]])</f>
        <v>3397</v>
      </c>
    </row>
    <row r="211" spans="1:16" x14ac:dyDescent="0.25">
      <c r="A211" s="6" t="s">
        <v>269</v>
      </c>
      <c r="B211" s="6" t="s">
        <v>17</v>
      </c>
      <c r="C211" s="9">
        <v>45780</v>
      </c>
      <c r="D211" s="6" t="s">
        <v>53</v>
      </c>
      <c r="E211" s="6" t="s">
        <v>65</v>
      </c>
      <c r="F211" s="7">
        <v>1010</v>
      </c>
      <c r="G211" s="7">
        <v>361</v>
      </c>
      <c r="H211" s="7">
        <v>240</v>
      </c>
      <c r="I211" s="7">
        <v>47229</v>
      </c>
      <c r="J211" s="28">
        <f>(Posts[[#This Row],[Likes]]+Posts[[#This Row],[Shares]]+Posts[[#This Row],[Comments]])/Posts[[#This Row],[Impressions]]</f>
        <v>3.4110398272247981E-2</v>
      </c>
      <c r="K211" s="7">
        <v>72573</v>
      </c>
      <c r="L211" s="7">
        <v>275</v>
      </c>
      <c r="M211" s="6" t="s">
        <v>22</v>
      </c>
      <c r="N211" s="6" t="s">
        <v>18</v>
      </c>
      <c r="O211" s="6" t="s">
        <v>19</v>
      </c>
      <c r="P211" s="8">
        <f>SUM(Posts[[#This Row],[Likes]:[Comments]])</f>
        <v>1611</v>
      </c>
    </row>
    <row r="212" spans="1:16" x14ac:dyDescent="0.25">
      <c r="A212" s="6" t="s">
        <v>270</v>
      </c>
      <c r="B212" s="6" t="s">
        <v>17</v>
      </c>
      <c r="C212" s="9">
        <v>45396</v>
      </c>
      <c r="D212" s="6" t="s">
        <v>53</v>
      </c>
      <c r="E212" s="6" t="s">
        <v>49</v>
      </c>
      <c r="F212" s="7">
        <v>1295</v>
      </c>
      <c r="G212" s="7">
        <v>153</v>
      </c>
      <c r="H212" s="7">
        <v>81</v>
      </c>
      <c r="I212" s="7">
        <v>48350</v>
      </c>
      <c r="J212" s="28">
        <f>(Posts[[#This Row],[Likes]]+Posts[[#This Row],[Shares]]+Posts[[#This Row],[Comments]])/Posts[[#This Row],[Impressions]]</f>
        <v>3.1623578076525334E-2</v>
      </c>
      <c r="K212" s="7">
        <v>61033</v>
      </c>
      <c r="L212" s="7">
        <v>232</v>
      </c>
      <c r="M212" s="6" t="s">
        <v>26</v>
      </c>
      <c r="N212" s="6" t="s">
        <v>14</v>
      </c>
      <c r="O212" s="6" t="s">
        <v>19</v>
      </c>
      <c r="P212" s="8">
        <f>SUM(Posts[[#This Row],[Likes]:[Comments]])</f>
        <v>1529</v>
      </c>
    </row>
    <row r="213" spans="1:16" x14ac:dyDescent="0.25">
      <c r="A213" s="6" t="s">
        <v>271</v>
      </c>
      <c r="B213" s="6" t="s">
        <v>17</v>
      </c>
      <c r="C213" s="9">
        <v>45827</v>
      </c>
      <c r="D213" s="6" t="s">
        <v>53</v>
      </c>
      <c r="E213" s="6" t="s">
        <v>60</v>
      </c>
      <c r="F213" s="7">
        <v>1433</v>
      </c>
      <c r="G213" s="7">
        <v>452</v>
      </c>
      <c r="H213" s="7">
        <v>305</v>
      </c>
      <c r="I213" s="7">
        <v>54541</v>
      </c>
      <c r="J213" s="28">
        <f>(Posts[[#This Row],[Likes]]+Posts[[#This Row],[Shares]]+Posts[[#This Row],[Comments]])/Posts[[#This Row],[Impressions]]</f>
        <v>4.0153279184466734E-2</v>
      </c>
      <c r="K213" s="7">
        <v>63700</v>
      </c>
      <c r="L213" s="7">
        <v>296</v>
      </c>
      <c r="M213" s="6" t="s">
        <v>26</v>
      </c>
      <c r="N213" s="6" t="s">
        <v>14</v>
      </c>
      <c r="O213" s="6" t="s">
        <v>19</v>
      </c>
      <c r="P213" s="8">
        <f>SUM(Posts[[#This Row],[Likes]:[Comments]])</f>
        <v>2190</v>
      </c>
    </row>
    <row r="214" spans="1:16" x14ac:dyDescent="0.25">
      <c r="A214" s="6" t="s">
        <v>272</v>
      </c>
      <c r="B214" s="6" t="s">
        <v>11</v>
      </c>
      <c r="C214" s="9">
        <v>45832</v>
      </c>
      <c r="D214" s="6" t="s">
        <v>53</v>
      </c>
      <c r="E214" s="6" t="s">
        <v>62</v>
      </c>
      <c r="F214" s="7">
        <v>4902</v>
      </c>
      <c r="G214" s="7">
        <v>422</v>
      </c>
      <c r="H214" s="7">
        <v>376</v>
      </c>
      <c r="I214" s="7">
        <v>31674</v>
      </c>
      <c r="J214" s="28">
        <f>(Posts[[#This Row],[Likes]]+Posts[[#This Row],[Shares]]+Posts[[#This Row],[Comments]])/Posts[[#This Row],[Impressions]]</f>
        <v>0.17995832544042431</v>
      </c>
      <c r="K214" s="7">
        <v>53225</v>
      </c>
      <c r="L214" s="7">
        <v>147</v>
      </c>
      <c r="M214" s="6" t="s">
        <v>18</v>
      </c>
      <c r="N214" s="6"/>
      <c r="O214" s="6" t="s">
        <v>15</v>
      </c>
      <c r="P214" s="8">
        <f>SUM(Posts[[#This Row],[Likes]:[Comments]])</f>
        <v>5700</v>
      </c>
    </row>
    <row r="215" spans="1:16" x14ac:dyDescent="0.25">
      <c r="A215" s="6" t="s">
        <v>273</v>
      </c>
      <c r="B215" s="6" t="s">
        <v>17</v>
      </c>
      <c r="C215" s="9">
        <v>45574</v>
      </c>
      <c r="D215" s="6" t="s">
        <v>48</v>
      </c>
      <c r="E215" s="6" t="s">
        <v>56</v>
      </c>
      <c r="F215" s="7">
        <v>2659</v>
      </c>
      <c r="G215" s="7">
        <v>167</v>
      </c>
      <c r="H215" s="7">
        <v>73</v>
      </c>
      <c r="I215" s="7">
        <v>23090</v>
      </c>
      <c r="J215" s="28">
        <f>(Posts[[#This Row],[Likes]]+Posts[[#This Row],[Shares]]+Posts[[#This Row],[Comments]])/Posts[[#This Row],[Impressions]]</f>
        <v>0.12555218709398008</v>
      </c>
      <c r="K215" s="7">
        <v>25872</v>
      </c>
      <c r="L215" s="7">
        <v>293</v>
      </c>
      <c r="M215" s="6" t="s">
        <v>22</v>
      </c>
      <c r="N215" s="6"/>
      <c r="O215" s="6" t="s">
        <v>23</v>
      </c>
      <c r="P215" s="8">
        <f>SUM(Posts[[#This Row],[Likes]:[Comments]])</f>
        <v>2899</v>
      </c>
    </row>
    <row r="216" spans="1:16" x14ac:dyDescent="0.25">
      <c r="A216" s="6" t="s">
        <v>274</v>
      </c>
      <c r="B216" s="6" t="s">
        <v>12</v>
      </c>
      <c r="C216" s="9">
        <v>45672</v>
      </c>
      <c r="D216" s="6" t="s">
        <v>48</v>
      </c>
      <c r="E216" s="6" t="s">
        <v>73</v>
      </c>
      <c r="F216" s="7">
        <v>2599</v>
      </c>
      <c r="G216" s="7">
        <v>324</v>
      </c>
      <c r="H216" s="7">
        <v>182</v>
      </c>
      <c r="I216" s="7">
        <v>37525</v>
      </c>
      <c r="J216" s="28">
        <f>(Posts[[#This Row],[Likes]]+Posts[[#This Row],[Shares]]+Posts[[#This Row],[Comments]])/Posts[[#This Row],[Impressions]]</f>
        <v>8.2744836775483013E-2</v>
      </c>
      <c r="K216" s="7">
        <v>37216</v>
      </c>
      <c r="L216" s="7">
        <v>186</v>
      </c>
      <c r="M216" s="6" t="s">
        <v>26</v>
      </c>
      <c r="N216" s="6" t="s">
        <v>13</v>
      </c>
      <c r="O216" s="6" t="s">
        <v>23</v>
      </c>
      <c r="P216" s="8">
        <f>SUM(Posts[[#This Row],[Likes]:[Comments]])</f>
        <v>3105</v>
      </c>
    </row>
    <row r="217" spans="1:16" x14ac:dyDescent="0.25">
      <c r="A217" s="6" t="s">
        <v>275</v>
      </c>
      <c r="B217" s="6" t="s">
        <v>17</v>
      </c>
      <c r="C217" s="9">
        <v>45669</v>
      </c>
      <c r="D217" s="6" t="s">
        <v>48</v>
      </c>
      <c r="E217" s="6" t="s">
        <v>58</v>
      </c>
      <c r="F217" s="7">
        <v>1765</v>
      </c>
      <c r="G217" s="7">
        <v>285</v>
      </c>
      <c r="H217" s="7">
        <v>100</v>
      </c>
      <c r="I217" s="7">
        <v>41313</v>
      </c>
      <c r="J217" s="28">
        <f>(Posts[[#This Row],[Likes]]+Posts[[#This Row],[Shares]]+Posts[[#This Row],[Comments]])/Posts[[#This Row],[Impressions]]</f>
        <v>5.2041730205988429E-2</v>
      </c>
      <c r="K217" s="7">
        <v>56575</v>
      </c>
      <c r="L217" s="7">
        <v>174</v>
      </c>
      <c r="M217" s="6" t="s">
        <v>22</v>
      </c>
      <c r="N217" s="6"/>
      <c r="O217" s="6" t="s">
        <v>23</v>
      </c>
      <c r="P217" s="8">
        <f>SUM(Posts[[#This Row],[Likes]:[Comments]])</f>
        <v>2150</v>
      </c>
    </row>
    <row r="218" spans="1:16" x14ac:dyDescent="0.25">
      <c r="A218" s="6" t="s">
        <v>276</v>
      </c>
      <c r="B218" s="6" t="s">
        <v>11</v>
      </c>
      <c r="C218" s="9">
        <v>45808</v>
      </c>
      <c r="D218" s="6" t="s">
        <v>48</v>
      </c>
      <c r="E218" s="6" t="s">
        <v>60</v>
      </c>
      <c r="F218" s="7">
        <v>2169</v>
      </c>
      <c r="G218" s="7">
        <v>240</v>
      </c>
      <c r="H218" s="7">
        <v>57</v>
      </c>
      <c r="I218" s="7">
        <v>26109</v>
      </c>
      <c r="J218" s="28">
        <f>(Posts[[#This Row],[Likes]]+Posts[[#This Row],[Shares]]+Posts[[#This Row],[Comments]])/Posts[[#This Row],[Impressions]]</f>
        <v>9.4450189589796618E-2</v>
      </c>
      <c r="K218" s="7">
        <v>46667</v>
      </c>
      <c r="L218" s="7">
        <v>133</v>
      </c>
      <c r="M218" s="6" t="s">
        <v>22</v>
      </c>
      <c r="N218" s="6" t="s">
        <v>18</v>
      </c>
      <c r="O218" s="6" t="s">
        <v>19</v>
      </c>
      <c r="P218" s="8">
        <f>SUM(Posts[[#This Row],[Likes]:[Comments]])</f>
        <v>2466</v>
      </c>
    </row>
    <row r="219" spans="1:16" x14ac:dyDescent="0.25">
      <c r="A219" s="6" t="s">
        <v>277</v>
      </c>
      <c r="B219" s="6" t="s">
        <v>17</v>
      </c>
      <c r="C219" s="9">
        <v>45579</v>
      </c>
      <c r="D219" s="6" t="s">
        <v>53</v>
      </c>
      <c r="E219" s="6" t="s">
        <v>51</v>
      </c>
      <c r="F219" s="7">
        <v>4303</v>
      </c>
      <c r="G219" s="7">
        <v>306</v>
      </c>
      <c r="H219" s="7">
        <v>302</v>
      </c>
      <c r="I219" s="7">
        <v>39575</v>
      </c>
      <c r="J219" s="28">
        <f>(Posts[[#This Row],[Likes]]+Posts[[#This Row],[Shares]]+Posts[[#This Row],[Comments]])/Posts[[#This Row],[Impressions]]</f>
        <v>0.12409349336702463</v>
      </c>
      <c r="K219" s="7">
        <v>33762</v>
      </c>
      <c r="L219" s="7">
        <v>265</v>
      </c>
      <c r="M219" s="6" t="s">
        <v>26</v>
      </c>
      <c r="N219" s="6" t="s">
        <v>14</v>
      </c>
      <c r="O219" s="6" t="s">
        <v>19</v>
      </c>
      <c r="P219" s="8">
        <f>SUM(Posts[[#This Row],[Likes]:[Comments]])</f>
        <v>4911</v>
      </c>
    </row>
    <row r="220" spans="1:16" x14ac:dyDescent="0.25">
      <c r="A220" s="6" t="s">
        <v>278</v>
      </c>
      <c r="B220" s="6" t="s">
        <v>17</v>
      </c>
      <c r="C220" s="9">
        <v>45332</v>
      </c>
      <c r="D220" s="6" t="s">
        <v>48</v>
      </c>
      <c r="E220" s="6" t="s">
        <v>71</v>
      </c>
      <c r="F220" s="7">
        <v>1519</v>
      </c>
      <c r="G220" s="7">
        <v>456</v>
      </c>
      <c r="H220" s="7">
        <v>379</v>
      </c>
      <c r="I220" s="7">
        <v>51611</v>
      </c>
      <c r="J220" s="28">
        <f>(Posts[[#This Row],[Likes]]+Posts[[#This Row],[Shares]]+Posts[[#This Row],[Comments]])/Posts[[#This Row],[Impressions]]</f>
        <v>4.5610431884675749E-2</v>
      </c>
      <c r="K220" s="7">
        <v>45880</v>
      </c>
      <c r="L220" s="7">
        <v>176</v>
      </c>
      <c r="M220" s="6" t="s">
        <v>22</v>
      </c>
      <c r="N220" s="6"/>
      <c r="O220" s="6" t="s">
        <v>23</v>
      </c>
      <c r="P220" s="8">
        <f>SUM(Posts[[#This Row],[Likes]:[Comments]])</f>
        <v>2354</v>
      </c>
    </row>
    <row r="221" spans="1:16" x14ac:dyDescent="0.25">
      <c r="A221" s="6" t="s">
        <v>279</v>
      </c>
      <c r="B221" s="6" t="s">
        <v>12</v>
      </c>
      <c r="C221" s="9">
        <v>45636</v>
      </c>
      <c r="D221" s="6" t="s">
        <v>48</v>
      </c>
      <c r="E221" s="6" t="s">
        <v>60</v>
      </c>
      <c r="F221" s="7">
        <v>2569</v>
      </c>
      <c r="G221" s="7">
        <v>140</v>
      </c>
      <c r="H221" s="7">
        <v>375</v>
      </c>
      <c r="I221" s="7">
        <v>38372</v>
      </c>
      <c r="J221" s="28">
        <f>(Posts[[#This Row],[Likes]]+Posts[[#This Row],[Shares]]+Posts[[#This Row],[Comments]])/Posts[[#This Row],[Impressions]]</f>
        <v>8.0371103929948923E-2</v>
      </c>
      <c r="K221" s="7">
        <v>22102</v>
      </c>
      <c r="L221" s="7">
        <v>255</v>
      </c>
      <c r="M221" s="6" t="s">
        <v>26</v>
      </c>
      <c r="N221" s="6" t="s">
        <v>13</v>
      </c>
      <c r="O221" s="6" t="s">
        <v>23</v>
      </c>
      <c r="P221" s="8">
        <f>SUM(Posts[[#This Row],[Likes]:[Comments]])</f>
        <v>3084</v>
      </c>
    </row>
    <row r="222" spans="1:16" x14ac:dyDescent="0.25">
      <c r="A222" s="6" t="s">
        <v>280</v>
      </c>
      <c r="B222" s="6" t="s">
        <v>17</v>
      </c>
      <c r="C222" s="9">
        <v>45786</v>
      </c>
      <c r="D222" s="6" t="s">
        <v>53</v>
      </c>
      <c r="E222" s="6" t="s">
        <v>58</v>
      </c>
      <c r="F222" s="7">
        <v>2778</v>
      </c>
      <c r="G222" s="7">
        <v>241</v>
      </c>
      <c r="H222" s="7">
        <v>317</v>
      </c>
      <c r="I222" s="7">
        <v>26247</v>
      </c>
      <c r="J222" s="28">
        <f>(Posts[[#This Row],[Likes]]+Posts[[#This Row],[Shares]]+Posts[[#This Row],[Comments]])/Posts[[#This Row],[Impressions]]</f>
        <v>0.1271002400274317</v>
      </c>
      <c r="K222" s="7">
        <v>20677</v>
      </c>
      <c r="L222" s="7">
        <v>282</v>
      </c>
      <c r="M222" s="6" t="s">
        <v>14</v>
      </c>
      <c r="N222" s="6" t="s">
        <v>18</v>
      </c>
      <c r="O222" s="6" t="s">
        <v>19</v>
      </c>
      <c r="P222" s="8">
        <f>SUM(Posts[[#This Row],[Likes]:[Comments]])</f>
        <v>3336</v>
      </c>
    </row>
    <row r="223" spans="1:16" x14ac:dyDescent="0.25">
      <c r="A223" s="6" t="s">
        <v>281</v>
      </c>
      <c r="B223" s="6" t="s">
        <v>17</v>
      </c>
      <c r="C223" s="9">
        <v>45829</v>
      </c>
      <c r="D223" s="6" t="s">
        <v>48</v>
      </c>
      <c r="E223" s="6" t="s">
        <v>51</v>
      </c>
      <c r="F223" s="7">
        <v>3611</v>
      </c>
      <c r="G223" s="7">
        <v>127</v>
      </c>
      <c r="H223" s="7">
        <v>139</v>
      </c>
      <c r="I223" s="7">
        <v>44768</v>
      </c>
      <c r="J223" s="28">
        <f>(Posts[[#This Row],[Likes]]+Posts[[#This Row],[Shares]]+Posts[[#This Row],[Comments]])/Posts[[#This Row],[Impressions]]</f>
        <v>8.6602037169406718E-2</v>
      </c>
      <c r="K223" s="7">
        <v>29435</v>
      </c>
      <c r="L223" s="7">
        <v>178</v>
      </c>
      <c r="M223" s="6" t="s">
        <v>18</v>
      </c>
      <c r="N223" s="6"/>
      <c r="O223" s="6" t="s">
        <v>19</v>
      </c>
      <c r="P223" s="8">
        <f>SUM(Posts[[#This Row],[Likes]:[Comments]])</f>
        <v>3877</v>
      </c>
    </row>
    <row r="224" spans="1:16" x14ac:dyDescent="0.25">
      <c r="A224" s="6" t="s">
        <v>282</v>
      </c>
      <c r="B224" s="6" t="s">
        <v>17</v>
      </c>
      <c r="C224" s="9">
        <v>45462</v>
      </c>
      <c r="D224" s="6" t="s">
        <v>48</v>
      </c>
      <c r="E224" s="6" t="s">
        <v>60</v>
      </c>
      <c r="F224" s="7">
        <v>1224</v>
      </c>
      <c r="G224" s="7">
        <v>168</v>
      </c>
      <c r="H224" s="7">
        <v>199</v>
      </c>
      <c r="I224" s="7">
        <v>54232</v>
      </c>
      <c r="J224" s="28">
        <f>(Posts[[#This Row],[Likes]]+Posts[[#This Row],[Shares]]+Posts[[#This Row],[Comments]])/Posts[[#This Row],[Impressions]]</f>
        <v>2.9336922849977874E-2</v>
      </c>
      <c r="K224" s="7">
        <v>52844</v>
      </c>
      <c r="L224" s="7">
        <v>271</v>
      </c>
      <c r="M224" s="6" t="s">
        <v>22</v>
      </c>
      <c r="N224" s="6"/>
      <c r="O224" s="6" t="s">
        <v>23</v>
      </c>
      <c r="P224" s="8">
        <f>SUM(Posts[[#This Row],[Likes]:[Comments]])</f>
        <v>1591</v>
      </c>
    </row>
    <row r="225" spans="1:16" x14ac:dyDescent="0.25">
      <c r="A225" s="6" t="s">
        <v>283</v>
      </c>
      <c r="B225" s="6" t="s">
        <v>17</v>
      </c>
      <c r="C225" s="9">
        <v>45636</v>
      </c>
      <c r="D225" s="6" t="s">
        <v>48</v>
      </c>
      <c r="E225" s="6" t="s">
        <v>71</v>
      </c>
      <c r="F225" s="7">
        <v>4673</v>
      </c>
      <c r="G225" s="7">
        <v>270</v>
      </c>
      <c r="H225" s="7">
        <v>93</v>
      </c>
      <c r="I225" s="7">
        <v>45260</v>
      </c>
      <c r="J225" s="28">
        <f>(Posts[[#This Row],[Likes]]+Posts[[#This Row],[Shares]]+Posts[[#This Row],[Comments]])/Posts[[#This Row],[Impressions]]</f>
        <v>0.11126822801590809</v>
      </c>
      <c r="K225" s="7">
        <v>57513</v>
      </c>
      <c r="L225" s="7">
        <v>103</v>
      </c>
      <c r="M225" s="6" t="s">
        <v>18</v>
      </c>
      <c r="N225" s="6"/>
      <c r="O225" s="6" t="s">
        <v>19</v>
      </c>
      <c r="P225" s="8">
        <f>SUM(Posts[[#This Row],[Likes]:[Comments]])</f>
        <v>5036</v>
      </c>
    </row>
    <row r="226" spans="1:16" x14ac:dyDescent="0.25">
      <c r="A226" s="6" t="s">
        <v>284</v>
      </c>
      <c r="B226" s="6" t="s">
        <v>12</v>
      </c>
      <c r="C226" s="9">
        <v>45323</v>
      </c>
      <c r="D226" s="6" t="s">
        <v>48</v>
      </c>
      <c r="E226" s="6" t="s">
        <v>56</v>
      </c>
      <c r="F226" s="7">
        <v>1432</v>
      </c>
      <c r="G226" s="7">
        <v>437</v>
      </c>
      <c r="H226" s="7">
        <v>267</v>
      </c>
      <c r="I226" s="7">
        <v>40634</v>
      </c>
      <c r="J226" s="28">
        <f>(Posts[[#This Row],[Likes]]+Posts[[#This Row],[Shares]]+Posts[[#This Row],[Comments]])/Posts[[#This Row],[Impressions]]</f>
        <v>5.2566815966924252E-2</v>
      </c>
      <c r="K226" s="7">
        <v>54511</v>
      </c>
      <c r="L226" s="7">
        <v>197</v>
      </c>
      <c r="M226" s="6" t="s">
        <v>26</v>
      </c>
      <c r="N226" s="6" t="s">
        <v>13</v>
      </c>
      <c r="O226" s="6" t="s">
        <v>23</v>
      </c>
      <c r="P226" s="8">
        <f>SUM(Posts[[#This Row],[Likes]:[Comments]])</f>
        <v>2136</v>
      </c>
    </row>
    <row r="227" spans="1:16" x14ac:dyDescent="0.25">
      <c r="A227" s="6" t="s">
        <v>285</v>
      </c>
      <c r="B227" s="6" t="s">
        <v>17</v>
      </c>
      <c r="C227" s="9">
        <v>45308</v>
      </c>
      <c r="D227" s="6" t="s">
        <v>53</v>
      </c>
      <c r="E227" s="6" t="s">
        <v>54</v>
      </c>
      <c r="F227" s="7">
        <v>2174</v>
      </c>
      <c r="G227" s="7">
        <v>499</v>
      </c>
      <c r="H227" s="7">
        <v>212</v>
      </c>
      <c r="I227" s="7">
        <v>54938</v>
      </c>
      <c r="J227" s="28">
        <f>(Posts[[#This Row],[Likes]]+Posts[[#This Row],[Shares]]+Posts[[#This Row],[Comments]])/Posts[[#This Row],[Impressions]]</f>
        <v>5.2513742764570971E-2</v>
      </c>
      <c r="K227" s="7">
        <v>27190</v>
      </c>
      <c r="L227" s="7">
        <v>265</v>
      </c>
      <c r="M227" s="6" t="s">
        <v>14</v>
      </c>
      <c r="N227" s="6" t="s">
        <v>18</v>
      </c>
      <c r="O227" s="6" t="s">
        <v>19</v>
      </c>
      <c r="P227" s="8">
        <f>SUM(Posts[[#This Row],[Likes]:[Comments]])</f>
        <v>2885</v>
      </c>
    </row>
    <row r="228" spans="1:16" x14ac:dyDescent="0.25">
      <c r="A228" s="6" t="s">
        <v>286</v>
      </c>
      <c r="B228" s="6" t="s">
        <v>12</v>
      </c>
      <c r="C228" s="9">
        <v>45738</v>
      </c>
      <c r="D228" s="6" t="s">
        <v>48</v>
      </c>
      <c r="E228" s="6" t="s">
        <v>58</v>
      </c>
      <c r="F228" s="7">
        <v>4308</v>
      </c>
      <c r="G228" s="7">
        <v>171</v>
      </c>
      <c r="H228" s="7">
        <v>106</v>
      </c>
      <c r="I228" s="7">
        <v>36955</v>
      </c>
      <c r="J228" s="28">
        <f>(Posts[[#This Row],[Likes]]+Posts[[#This Row],[Shares]]+Posts[[#This Row],[Comments]])/Posts[[#This Row],[Impressions]]</f>
        <v>0.12406981463942633</v>
      </c>
      <c r="K228" s="7">
        <v>23949</v>
      </c>
      <c r="L228" s="7">
        <v>294</v>
      </c>
      <c r="M228" s="6" t="s">
        <v>26</v>
      </c>
      <c r="N228" s="6" t="s">
        <v>13</v>
      </c>
      <c r="O228" s="6" t="s">
        <v>23</v>
      </c>
      <c r="P228" s="8">
        <f>SUM(Posts[[#This Row],[Likes]:[Comments]])</f>
        <v>4585</v>
      </c>
    </row>
    <row r="229" spans="1:16" x14ac:dyDescent="0.25">
      <c r="A229" s="6" t="s">
        <v>287</v>
      </c>
      <c r="B229" s="6" t="s">
        <v>12</v>
      </c>
      <c r="C229" s="9">
        <v>45442</v>
      </c>
      <c r="D229" s="6" t="s">
        <v>78</v>
      </c>
      <c r="E229" s="6" t="s">
        <v>60</v>
      </c>
      <c r="F229" s="7">
        <v>1060</v>
      </c>
      <c r="G229" s="7">
        <v>442</v>
      </c>
      <c r="H229" s="7">
        <v>319</v>
      </c>
      <c r="I229" s="7">
        <v>57194</v>
      </c>
      <c r="J229" s="28">
        <f>(Posts[[#This Row],[Likes]]+Posts[[#This Row],[Shares]]+Posts[[#This Row],[Comments]])/Posts[[#This Row],[Impressions]]</f>
        <v>3.1839004091338254E-2</v>
      </c>
      <c r="K229" s="7">
        <v>24258</v>
      </c>
      <c r="L229" s="7">
        <v>101</v>
      </c>
      <c r="M229" s="6" t="s">
        <v>26</v>
      </c>
      <c r="N229" s="6" t="s">
        <v>22</v>
      </c>
      <c r="O229" s="6" t="s">
        <v>9</v>
      </c>
      <c r="P229" s="8">
        <f>SUM(Posts[[#This Row],[Likes]:[Comments]])</f>
        <v>1821</v>
      </c>
    </row>
    <row r="230" spans="1:16" x14ac:dyDescent="0.25">
      <c r="A230" s="6" t="s">
        <v>288</v>
      </c>
      <c r="B230" s="6" t="s">
        <v>12</v>
      </c>
      <c r="C230" s="9">
        <v>45346</v>
      </c>
      <c r="D230" s="6" t="s">
        <v>48</v>
      </c>
      <c r="E230" s="6" t="s">
        <v>58</v>
      </c>
      <c r="F230" s="7">
        <v>4653</v>
      </c>
      <c r="G230" s="7">
        <v>226</v>
      </c>
      <c r="H230" s="7">
        <v>349</v>
      </c>
      <c r="I230" s="7">
        <v>56876</v>
      </c>
      <c r="J230" s="28">
        <f>(Posts[[#This Row],[Likes]]+Posts[[#This Row],[Shares]]+Posts[[#This Row],[Comments]])/Posts[[#This Row],[Impressions]]</f>
        <v>9.191926295801392E-2</v>
      </c>
      <c r="K230" s="7">
        <v>28452</v>
      </c>
      <c r="L230" s="7">
        <v>257</v>
      </c>
      <c r="M230" s="6" t="s">
        <v>26</v>
      </c>
      <c r="N230" s="6" t="s">
        <v>13</v>
      </c>
      <c r="O230" s="6" t="s">
        <v>23</v>
      </c>
      <c r="P230" s="8">
        <f>SUM(Posts[[#This Row],[Likes]:[Comments]])</f>
        <v>5228</v>
      </c>
    </row>
    <row r="231" spans="1:16" x14ac:dyDescent="0.25">
      <c r="A231" s="6" t="s">
        <v>289</v>
      </c>
      <c r="B231" s="6" t="s">
        <v>12</v>
      </c>
      <c r="C231" s="9">
        <v>45791</v>
      </c>
      <c r="D231" s="6" t="s">
        <v>48</v>
      </c>
      <c r="E231" s="6" t="s">
        <v>49</v>
      </c>
      <c r="F231" s="7">
        <v>1701</v>
      </c>
      <c r="G231" s="7">
        <v>272</v>
      </c>
      <c r="H231" s="7">
        <v>385</v>
      </c>
      <c r="I231" s="7">
        <v>47496</v>
      </c>
      <c r="J231" s="28">
        <f>(Posts[[#This Row],[Likes]]+Posts[[#This Row],[Shares]]+Posts[[#This Row],[Comments]])/Posts[[#This Row],[Impressions]]</f>
        <v>4.9646286003031836E-2</v>
      </c>
      <c r="K231" s="7">
        <v>40832</v>
      </c>
      <c r="L231" s="7">
        <v>246</v>
      </c>
      <c r="M231" s="6" t="s">
        <v>26</v>
      </c>
      <c r="N231" s="6" t="s">
        <v>13</v>
      </c>
      <c r="O231" s="6" t="s">
        <v>23</v>
      </c>
      <c r="P231" s="8">
        <f>SUM(Posts[[#This Row],[Likes]:[Comments]])</f>
        <v>2358</v>
      </c>
    </row>
    <row r="232" spans="1:16" x14ac:dyDescent="0.25">
      <c r="A232" s="6" t="s">
        <v>290</v>
      </c>
      <c r="B232" s="6" t="s">
        <v>11</v>
      </c>
      <c r="C232" s="9">
        <v>45379</v>
      </c>
      <c r="D232" s="6" t="s">
        <v>48</v>
      </c>
      <c r="E232" s="6" t="s">
        <v>60</v>
      </c>
      <c r="F232" s="7">
        <v>1673</v>
      </c>
      <c r="G232" s="7">
        <v>280</v>
      </c>
      <c r="H232" s="7">
        <v>67</v>
      </c>
      <c r="I232" s="7">
        <v>29847</v>
      </c>
      <c r="J232" s="28">
        <f>(Posts[[#This Row],[Likes]]+Posts[[#This Row],[Shares]]+Posts[[#This Row],[Comments]])/Posts[[#This Row],[Impressions]]</f>
        <v>6.76784936509532E-2</v>
      </c>
      <c r="K232" s="7">
        <v>48016</v>
      </c>
      <c r="L232" s="7">
        <v>213</v>
      </c>
      <c r="M232" s="6" t="s">
        <v>22</v>
      </c>
      <c r="N232" s="6" t="s">
        <v>18</v>
      </c>
      <c r="O232" s="6" t="s">
        <v>19</v>
      </c>
      <c r="P232" s="8">
        <f>SUM(Posts[[#This Row],[Likes]:[Comments]])</f>
        <v>2020</v>
      </c>
    </row>
    <row r="233" spans="1:16" x14ac:dyDescent="0.25">
      <c r="A233" s="6" t="s">
        <v>291</v>
      </c>
      <c r="B233" s="6" t="s">
        <v>12</v>
      </c>
      <c r="C233" s="9">
        <v>45723</v>
      </c>
      <c r="D233" s="6" t="s">
        <v>48</v>
      </c>
      <c r="E233" s="6" t="s">
        <v>65</v>
      </c>
      <c r="F233" s="7">
        <v>4310</v>
      </c>
      <c r="G233" s="7">
        <v>284</v>
      </c>
      <c r="H233" s="7">
        <v>306</v>
      </c>
      <c r="I233" s="7">
        <v>44606</v>
      </c>
      <c r="J233" s="28">
        <f>(Posts[[#This Row],[Likes]]+Posts[[#This Row],[Shares]]+Posts[[#This Row],[Comments]])/Posts[[#This Row],[Impressions]]</f>
        <v>0.10985069273191947</v>
      </c>
      <c r="K233" s="7">
        <v>42604</v>
      </c>
      <c r="L233" s="7">
        <v>290</v>
      </c>
      <c r="M233" s="6" t="s">
        <v>26</v>
      </c>
      <c r="N233" s="6" t="s">
        <v>13</v>
      </c>
      <c r="O233" s="6" t="s">
        <v>23</v>
      </c>
      <c r="P233" s="8">
        <f>SUM(Posts[[#This Row],[Likes]:[Comments]])</f>
        <v>4900</v>
      </c>
    </row>
    <row r="234" spans="1:16" x14ac:dyDescent="0.25">
      <c r="A234" s="6" t="s">
        <v>292</v>
      </c>
      <c r="B234" s="6" t="s">
        <v>17</v>
      </c>
      <c r="C234" s="9">
        <v>45585</v>
      </c>
      <c r="D234" s="6" t="s">
        <v>48</v>
      </c>
      <c r="E234" s="6" t="s">
        <v>71</v>
      </c>
      <c r="F234" s="7">
        <v>2752</v>
      </c>
      <c r="G234" s="7">
        <v>309</v>
      </c>
      <c r="H234" s="7">
        <v>91</v>
      </c>
      <c r="I234" s="7">
        <v>39038</v>
      </c>
      <c r="J234" s="28">
        <f>(Posts[[#This Row],[Likes]]+Posts[[#This Row],[Shares]]+Posts[[#This Row],[Comments]])/Posts[[#This Row],[Impressions]]</f>
        <v>8.0741841282852611E-2</v>
      </c>
      <c r="K234" s="7">
        <v>28095</v>
      </c>
      <c r="L234" s="7">
        <v>277</v>
      </c>
      <c r="M234" s="6" t="s">
        <v>18</v>
      </c>
      <c r="N234" s="6"/>
      <c r="O234" s="6" t="s">
        <v>19</v>
      </c>
      <c r="P234" s="8">
        <f>SUM(Posts[[#This Row],[Likes]:[Comments]])</f>
        <v>3152</v>
      </c>
    </row>
    <row r="235" spans="1:16" x14ac:dyDescent="0.25">
      <c r="A235" s="6" t="s">
        <v>293</v>
      </c>
      <c r="B235" s="6" t="s">
        <v>17</v>
      </c>
      <c r="C235" s="9">
        <v>45324</v>
      </c>
      <c r="D235" s="6" t="s">
        <v>48</v>
      </c>
      <c r="E235" s="6" t="s">
        <v>71</v>
      </c>
      <c r="F235" s="7">
        <v>3818</v>
      </c>
      <c r="G235" s="7">
        <v>115</v>
      </c>
      <c r="H235" s="7">
        <v>286</v>
      </c>
      <c r="I235" s="7">
        <v>25127</v>
      </c>
      <c r="J235" s="28">
        <f>(Posts[[#This Row],[Likes]]+Posts[[#This Row],[Shares]]+Posts[[#This Row],[Comments]])/Posts[[#This Row],[Impressions]]</f>
        <v>0.16790703227603773</v>
      </c>
      <c r="K235" s="7">
        <v>22277</v>
      </c>
      <c r="L235" s="7">
        <v>263</v>
      </c>
      <c r="M235" s="6" t="s">
        <v>18</v>
      </c>
      <c r="N235" s="6"/>
      <c r="O235" s="6" t="s">
        <v>19</v>
      </c>
      <c r="P235" s="8">
        <f>SUM(Posts[[#This Row],[Likes]:[Comments]])</f>
        <v>4219</v>
      </c>
    </row>
    <row r="236" spans="1:16" x14ac:dyDescent="0.25">
      <c r="A236" s="6" t="s">
        <v>294</v>
      </c>
      <c r="B236" s="6" t="s">
        <v>12</v>
      </c>
      <c r="C236" s="9">
        <v>45542</v>
      </c>
      <c r="D236" s="6" t="s">
        <v>48</v>
      </c>
      <c r="E236" s="6" t="s">
        <v>73</v>
      </c>
      <c r="F236" s="7">
        <v>2101</v>
      </c>
      <c r="G236" s="7">
        <v>411</v>
      </c>
      <c r="H236" s="7">
        <v>190</v>
      </c>
      <c r="I236" s="7">
        <v>41791</v>
      </c>
      <c r="J236" s="28">
        <f>(Posts[[#This Row],[Likes]]+Posts[[#This Row],[Shares]]+Posts[[#This Row],[Comments]])/Posts[[#This Row],[Impressions]]</f>
        <v>6.4655069273288512E-2</v>
      </c>
      <c r="K236" s="7">
        <v>57090</v>
      </c>
      <c r="L236" s="7">
        <v>172</v>
      </c>
      <c r="M236" s="6" t="s">
        <v>26</v>
      </c>
      <c r="N236" s="6" t="s">
        <v>13</v>
      </c>
      <c r="O236" s="6" t="s">
        <v>23</v>
      </c>
      <c r="P236" s="8">
        <f>SUM(Posts[[#This Row],[Likes]:[Comments]])</f>
        <v>2702</v>
      </c>
    </row>
    <row r="237" spans="1:16" x14ac:dyDescent="0.25">
      <c r="A237" s="6" t="s">
        <v>295</v>
      </c>
      <c r="B237" s="6" t="s">
        <v>11</v>
      </c>
      <c r="C237" s="9">
        <v>45646</v>
      </c>
      <c r="D237" s="6" t="s">
        <v>48</v>
      </c>
      <c r="E237" s="6" t="s">
        <v>49</v>
      </c>
      <c r="F237" s="7">
        <v>2519</v>
      </c>
      <c r="G237" s="7">
        <v>202</v>
      </c>
      <c r="H237" s="7">
        <v>239</v>
      </c>
      <c r="I237" s="7">
        <v>36245</v>
      </c>
      <c r="J237" s="28">
        <f>(Posts[[#This Row],[Likes]]+Posts[[#This Row],[Shares]]+Posts[[#This Row],[Comments]])/Posts[[#This Row],[Impressions]]</f>
        <v>8.1666436749896543E-2</v>
      </c>
      <c r="K237" s="7">
        <v>48606</v>
      </c>
      <c r="L237" s="7">
        <v>145</v>
      </c>
      <c r="M237" s="6" t="s">
        <v>26</v>
      </c>
      <c r="N237" s="6"/>
      <c r="O237" s="6" t="s">
        <v>23</v>
      </c>
      <c r="P237" s="8">
        <f>SUM(Posts[[#This Row],[Likes]:[Comments]])</f>
        <v>2960</v>
      </c>
    </row>
    <row r="238" spans="1:16" x14ac:dyDescent="0.25">
      <c r="A238" s="6" t="s">
        <v>296</v>
      </c>
      <c r="B238" s="6" t="s">
        <v>12</v>
      </c>
      <c r="C238" s="9">
        <v>45305</v>
      </c>
      <c r="D238" s="6" t="s">
        <v>48</v>
      </c>
      <c r="E238" s="6" t="s">
        <v>60</v>
      </c>
      <c r="F238" s="7">
        <v>4502</v>
      </c>
      <c r="G238" s="7">
        <v>238</v>
      </c>
      <c r="H238" s="7">
        <v>386</v>
      </c>
      <c r="I238" s="7">
        <v>39198</v>
      </c>
      <c r="J238" s="28">
        <f>(Posts[[#This Row],[Likes]]+Posts[[#This Row],[Shares]]+Posts[[#This Row],[Comments]])/Posts[[#This Row],[Impressions]]</f>
        <v>0.13077197816215114</v>
      </c>
      <c r="K238" s="7">
        <v>25050</v>
      </c>
      <c r="L238" s="7">
        <v>297</v>
      </c>
      <c r="M238" s="6" t="s">
        <v>26</v>
      </c>
      <c r="N238" s="6" t="s">
        <v>13</v>
      </c>
      <c r="O238" s="6" t="s">
        <v>23</v>
      </c>
      <c r="P238" s="8">
        <f>SUM(Posts[[#This Row],[Likes]:[Comments]])</f>
        <v>5126</v>
      </c>
    </row>
    <row r="239" spans="1:16" x14ac:dyDescent="0.25">
      <c r="A239" s="6" t="s">
        <v>297</v>
      </c>
      <c r="B239" s="6" t="s">
        <v>11</v>
      </c>
      <c r="C239" s="9">
        <v>45823</v>
      </c>
      <c r="D239" s="6" t="s">
        <v>48</v>
      </c>
      <c r="E239" s="6" t="s">
        <v>51</v>
      </c>
      <c r="F239" s="7">
        <v>2478</v>
      </c>
      <c r="G239" s="7">
        <v>427</v>
      </c>
      <c r="H239" s="7">
        <v>242</v>
      </c>
      <c r="I239" s="7">
        <v>59272</v>
      </c>
      <c r="J239" s="28">
        <f>(Posts[[#This Row],[Likes]]+Posts[[#This Row],[Shares]]+Posts[[#This Row],[Comments]])/Posts[[#This Row],[Impressions]]</f>
        <v>5.3094209744904843E-2</v>
      </c>
      <c r="K239" s="7">
        <v>37833</v>
      </c>
      <c r="L239" s="7">
        <v>214</v>
      </c>
      <c r="M239" s="6" t="s">
        <v>22</v>
      </c>
      <c r="N239" s="6" t="s">
        <v>18</v>
      </c>
      <c r="O239" s="6" t="s">
        <v>19</v>
      </c>
      <c r="P239" s="8">
        <f>SUM(Posts[[#This Row],[Likes]:[Comments]])</f>
        <v>3147</v>
      </c>
    </row>
    <row r="240" spans="1:16" x14ac:dyDescent="0.25">
      <c r="A240" s="6" t="s">
        <v>298</v>
      </c>
      <c r="B240" s="6" t="s">
        <v>17</v>
      </c>
      <c r="C240" s="9">
        <v>45639</v>
      </c>
      <c r="D240" s="6" t="s">
        <v>53</v>
      </c>
      <c r="E240" s="6" t="s">
        <v>54</v>
      </c>
      <c r="F240" s="7">
        <v>4984</v>
      </c>
      <c r="G240" s="7">
        <v>300</v>
      </c>
      <c r="H240" s="7">
        <v>338</v>
      </c>
      <c r="I240" s="7">
        <v>32900</v>
      </c>
      <c r="J240" s="28">
        <f>(Posts[[#This Row],[Likes]]+Posts[[#This Row],[Shares]]+Posts[[#This Row],[Comments]])/Posts[[#This Row],[Impressions]]</f>
        <v>0.17088145896656534</v>
      </c>
      <c r="K240" s="7">
        <v>31691</v>
      </c>
      <c r="L240" s="7">
        <v>160</v>
      </c>
      <c r="M240" s="6" t="s">
        <v>14</v>
      </c>
      <c r="N240" s="6" t="s">
        <v>18</v>
      </c>
      <c r="O240" s="6" t="s">
        <v>19</v>
      </c>
      <c r="P240" s="8">
        <f>SUM(Posts[[#This Row],[Likes]:[Comments]])</f>
        <v>5622</v>
      </c>
    </row>
    <row r="241" spans="1:16" x14ac:dyDescent="0.25">
      <c r="A241" s="6" t="s">
        <v>299</v>
      </c>
      <c r="B241" s="6" t="s">
        <v>12</v>
      </c>
      <c r="C241" s="9">
        <v>45533</v>
      </c>
      <c r="D241" s="6" t="s">
        <v>48</v>
      </c>
      <c r="E241" s="6" t="s">
        <v>56</v>
      </c>
      <c r="F241" s="7">
        <v>4774</v>
      </c>
      <c r="G241" s="7">
        <v>389</v>
      </c>
      <c r="H241" s="7">
        <v>358</v>
      </c>
      <c r="I241" s="7">
        <v>52346</v>
      </c>
      <c r="J241" s="28">
        <f>(Posts[[#This Row],[Likes]]+Posts[[#This Row],[Shares]]+Posts[[#This Row],[Comments]])/Posts[[#This Row],[Impressions]]</f>
        <v>0.10547128720437092</v>
      </c>
      <c r="K241" s="7">
        <v>30518</v>
      </c>
      <c r="L241" s="7">
        <v>277</v>
      </c>
      <c r="M241" s="6" t="s">
        <v>26</v>
      </c>
      <c r="N241" s="6" t="s">
        <v>13</v>
      </c>
      <c r="O241" s="6" t="s">
        <v>23</v>
      </c>
      <c r="P241" s="8">
        <f>SUM(Posts[[#This Row],[Likes]:[Comments]])</f>
        <v>5521</v>
      </c>
    </row>
    <row r="242" spans="1:16" x14ac:dyDescent="0.25">
      <c r="A242" s="6" t="s">
        <v>300</v>
      </c>
      <c r="B242" s="6" t="s">
        <v>17</v>
      </c>
      <c r="C242" s="9">
        <v>45550</v>
      </c>
      <c r="D242" s="6" t="s">
        <v>48</v>
      </c>
      <c r="E242" s="6" t="s">
        <v>62</v>
      </c>
      <c r="F242" s="7">
        <v>2145</v>
      </c>
      <c r="G242" s="7">
        <v>340</v>
      </c>
      <c r="H242" s="7">
        <v>85</v>
      </c>
      <c r="I242" s="7">
        <v>53323</v>
      </c>
      <c r="J242" s="28">
        <f>(Posts[[#This Row],[Likes]]+Posts[[#This Row],[Shares]]+Posts[[#This Row],[Comments]])/Posts[[#This Row],[Impressions]]</f>
        <v>4.819683813738912E-2</v>
      </c>
      <c r="K242" s="7">
        <v>49938</v>
      </c>
      <c r="L242" s="7">
        <v>104</v>
      </c>
      <c r="M242" s="6" t="s">
        <v>18</v>
      </c>
      <c r="N242" s="6"/>
      <c r="O242" s="6" t="s">
        <v>19</v>
      </c>
      <c r="P242" s="8">
        <f>SUM(Posts[[#This Row],[Likes]:[Comments]])</f>
        <v>2570</v>
      </c>
    </row>
    <row r="243" spans="1:16" x14ac:dyDescent="0.25">
      <c r="A243" s="6" t="s">
        <v>301</v>
      </c>
      <c r="B243" s="6" t="s">
        <v>17</v>
      </c>
      <c r="C243" s="9">
        <v>45759</v>
      </c>
      <c r="D243" s="6" t="s">
        <v>53</v>
      </c>
      <c r="E243" s="6" t="s">
        <v>71</v>
      </c>
      <c r="F243" s="7">
        <v>4315</v>
      </c>
      <c r="G243" s="7">
        <v>208</v>
      </c>
      <c r="H243" s="7">
        <v>273</v>
      </c>
      <c r="I243" s="7">
        <v>35780</v>
      </c>
      <c r="J243" s="28">
        <f>(Posts[[#This Row],[Likes]]+Posts[[#This Row],[Shares]]+Posts[[#This Row],[Comments]])/Posts[[#This Row],[Impressions]]</f>
        <v>0.13404136389044158</v>
      </c>
      <c r="K243" s="7">
        <v>44349</v>
      </c>
      <c r="L243" s="7">
        <v>133</v>
      </c>
      <c r="M243" s="6" t="s">
        <v>26</v>
      </c>
      <c r="N243" s="6" t="s">
        <v>14</v>
      </c>
      <c r="O243" s="6" t="s">
        <v>19</v>
      </c>
      <c r="P243" s="8">
        <f>SUM(Posts[[#This Row],[Likes]:[Comments]])</f>
        <v>4796</v>
      </c>
    </row>
    <row r="244" spans="1:16" x14ac:dyDescent="0.25">
      <c r="A244" s="6" t="s">
        <v>302</v>
      </c>
      <c r="B244" s="6" t="s">
        <v>17</v>
      </c>
      <c r="C244" s="9">
        <v>45636</v>
      </c>
      <c r="D244" s="6" t="s">
        <v>53</v>
      </c>
      <c r="E244" s="6" t="s">
        <v>56</v>
      </c>
      <c r="F244" s="7">
        <v>2267</v>
      </c>
      <c r="G244" s="7">
        <v>230</v>
      </c>
      <c r="H244" s="7">
        <v>243</v>
      </c>
      <c r="I244" s="7">
        <v>27904</v>
      </c>
      <c r="J244" s="28">
        <f>(Posts[[#This Row],[Likes]]+Posts[[#This Row],[Shares]]+Posts[[#This Row],[Comments]])/Posts[[#This Row],[Impressions]]</f>
        <v>9.8193807339449546E-2</v>
      </c>
      <c r="K244" s="7">
        <v>69771</v>
      </c>
      <c r="L244" s="7">
        <v>255</v>
      </c>
      <c r="M244" s="6" t="s">
        <v>26</v>
      </c>
      <c r="N244" s="6" t="s">
        <v>14</v>
      </c>
      <c r="O244" s="6" t="s">
        <v>19</v>
      </c>
      <c r="P244" s="8">
        <f>SUM(Posts[[#This Row],[Likes]:[Comments]])</f>
        <v>2740</v>
      </c>
    </row>
    <row r="245" spans="1:16" x14ac:dyDescent="0.25">
      <c r="A245" s="6" t="s">
        <v>303</v>
      </c>
      <c r="B245" s="6" t="s">
        <v>12</v>
      </c>
      <c r="C245" s="9">
        <v>45816</v>
      </c>
      <c r="D245" s="6" t="s">
        <v>48</v>
      </c>
      <c r="E245" s="6" t="s">
        <v>58</v>
      </c>
      <c r="F245" s="7">
        <v>4375</v>
      </c>
      <c r="G245" s="7">
        <v>303</v>
      </c>
      <c r="H245" s="7">
        <v>294</v>
      </c>
      <c r="I245" s="7">
        <v>57468</v>
      </c>
      <c r="J245" s="28">
        <f>(Posts[[#This Row],[Likes]]+Posts[[#This Row],[Shares]]+Posts[[#This Row],[Comments]])/Posts[[#This Row],[Impressions]]</f>
        <v>8.6517714206166912E-2</v>
      </c>
      <c r="K245" s="7">
        <v>53397</v>
      </c>
      <c r="L245" s="7">
        <v>159</v>
      </c>
      <c r="M245" s="6" t="s">
        <v>26</v>
      </c>
      <c r="N245" s="6" t="s">
        <v>13</v>
      </c>
      <c r="O245" s="6" t="s">
        <v>23</v>
      </c>
      <c r="P245" s="8">
        <f>SUM(Posts[[#This Row],[Likes]:[Comments]])</f>
        <v>4972</v>
      </c>
    </row>
    <row r="246" spans="1:16" x14ac:dyDescent="0.25">
      <c r="A246" s="6" t="s">
        <v>304</v>
      </c>
      <c r="B246" s="6" t="s">
        <v>17</v>
      </c>
      <c r="C246" s="9">
        <v>45666</v>
      </c>
      <c r="D246" s="6" t="s">
        <v>53</v>
      </c>
      <c r="E246" s="6" t="s">
        <v>73</v>
      </c>
      <c r="F246" s="7">
        <v>3817</v>
      </c>
      <c r="G246" s="7">
        <v>284</v>
      </c>
      <c r="H246" s="7">
        <v>204</v>
      </c>
      <c r="I246" s="7">
        <v>46434</v>
      </c>
      <c r="J246" s="28">
        <f>(Posts[[#This Row],[Likes]]+Posts[[#This Row],[Shares]]+Posts[[#This Row],[Comments]])/Posts[[#This Row],[Impressions]]</f>
        <v>9.2712236723090841E-2</v>
      </c>
      <c r="K246" s="7">
        <v>53396</v>
      </c>
      <c r="L246" s="7">
        <v>104</v>
      </c>
      <c r="M246" s="6" t="s">
        <v>14</v>
      </c>
      <c r="N246" s="6" t="s">
        <v>18</v>
      </c>
      <c r="O246" s="6" t="s">
        <v>19</v>
      </c>
      <c r="P246" s="8">
        <f>SUM(Posts[[#This Row],[Likes]:[Comments]])</f>
        <v>4305</v>
      </c>
    </row>
    <row r="247" spans="1:16" x14ac:dyDescent="0.25">
      <c r="A247" s="6" t="s">
        <v>305</v>
      </c>
      <c r="B247" s="6" t="s">
        <v>17</v>
      </c>
      <c r="C247" s="9">
        <v>45481</v>
      </c>
      <c r="D247" s="6" t="s">
        <v>53</v>
      </c>
      <c r="E247" s="6" t="s">
        <v>65</v>
      </c>
      <c r="F247" s="7">
        <v>2981</v>
      </c>
      <c r="G247" s="7">
        <v>258</v>
      </c>
      <c r="H247" s="7">
        <v>168</v>
      </c>
      <c r="I247" s="7">
        <v>20677</v>
      </c>
      <c r="J247" s="28">
        <f>(Posts[[#This Row],[Likes]]+Posts[[#This Row],[Shares]]+Posts[[#This Row],[Comments]])/Posts[[#This Row],[Impressions]]</f>
        <v>0.16477245248343569</v>
      </c>
      <c r="K247" s="7">
        <v>68290</v>
      </c>
      <c r="L247" s="7">
        <v>130</v>
      </c>
      <c r="M247" s="6" t="s">
        <v>22</v>
      </c>
      <c r="N247" s="6" t="s">
        <v>18</v>
      </c>
      <c r="O247" s="6" t="s">
        <v>19</v>
      </c>
      <c r="P247" s="8">
        <f>SUM(Posts[[#This Row],[Likes]:[Comments]])</f>
        <v>3407</v>
      </c>
    </row>
    <row r="248" spans="1:16" x14ac:dyDescent="0.25">
      <c r="A248" s="6" t="s">
        <v>306</v>
      </c>
      <c r="B248" s="6" t="s">
        <v>17</v>
      </c>
      <c r="C248" s="9">
        <v>45551</v>
      </c>
      <c r="D248" s="6" t="s">
        <v>53</v>
      </c>
      <c r="E248" s="6" t="s">
        <v>73</v>
      </c>
      <c r="F248" s="7">
        <v>3300</v>
      </c>
      <c r="G248" s="7">
        <v>354</v>
      </c>
      <c r="H248" s="7">
        <v>397</v>
      </c>
      <c r="I248" s="7">
        <v>56773</v>
      </c>
      <c r="J248" s="28">
        <f>(Posts[[#This Row],[Likes]]+Posts[[#This Row],[Shares]]+Posts[[#This Row],[Comments]])/Posts[[#This Row],[Impressions]]</f>
        <v>7.1354340971940891E-2</v>
      </c>
      <c r="K248" s="7">
        <v>72110</v>
      </c>
      <c r="L248" s="7">
        <v>163</v>
      </c>
      <c r="M248" s="6" t="s">
        <v>26</v>
      </c>
      <c r="N248" s="6" t="s">
        <v>14</v>
      </c>
      <c r="O248" s="6" t="s">
        <v>19</v>
      </c>
      <c r="P248" s="8">
        <f>SUM(Posts[[#This Row],[Likes]:[Comments]])</f>
        <v>4051</v>
      </c>
    </row>
    <row r="249" spans="1:16" x14ac:dyDescent="0.25">
      <c r="A249" s="6" t="s">
        <v>307</v>
      </c>
      <c r="B249" s="6" t="s">
        <v>12</v>
      </c>
      <c r="C249" s="9">
        <v>45457</v>
      </c>
      <c r="D249" s="6" t="s">
        <v>78</v>
      </c>
      <c r="E249" s="6" t="s">
        <v>56</v>
      </c>
      <c r="F249" s="7">
        <v>4722</v>
      </c>
      <c r="G249" s="7">
        <v>310</v>
      </c>
      <c r="H249" s="7">
        <v>344</v>
      </c>
      <c r="I249" s="7">
        <v>27911</v>
      </c>
      <c r="J249" s="28">
        <f>(Posts[[#This Row],[Likes]]+Posts[[#This Row],[Shares]]+Posts[[#This Row],[Comments]])/Posts[[#This Row],[Impressions]]</f>
        <v>0.19261223173659131</v>
      </c>
      <c r="K249" s="7">
        <v>19000</v>
      </c>
      <c r="L249" s="7">
        <v>225</v>
      </c>
      <c r="M249" s="6" t="s">
        <v>26</v>
      </c>
      <c r="N249" s="6" t="s">
        <v>22</v>
      </c>
      <c r="O249" s="6" t="s">
        <v>9</v>
      </c>
      <c r="P249" s="8">
        <f>SUM(Posts[[#This Row],[Likes]:[Comments]])</f>
        <v>5376</v>
      </c>
    </row>
    <row r="250" spans="1:16" x14ac:dyDescent="0.25">
      <c r="A250" s="6" t="s">
        <v>308</v>
      </c>
      <c r="B250" s="6" t="s">
        <v>11</v>
      </c>
      <c r="C250" s="9">
        <v>45357</v>
      </c>
      <c r="D250" s="6" t="s">
        <v>48</v>
      </c>
      <c r="E250" s="6" t="s">
        <v>60</v>
      </c>
      <c r="F250" s="7">
        <v>3529</v>
      </c>
      <c r="G250" s="7">
        <v>263</v>
      </c>
      <c r="H250" s="7">
        <v>107</v>
      </c>
      <c r="I250" s="7">
        <v>26570</v>
      </c>
      <c r="J250" s="28">
        <f>(Posts[[#This Row],[Likes]]+Posts[[#This Row],[Shares]]+Posts[[#This Row],[Comments]])/Posts[[#This Row],[Impressions]]</f>
        <v>0.14674444862627023</v>
      </c>
      <c r="K250" s="7">
        <v>19367</v>
      </c>
      <c r="L250" s="7">
        <v>96</v>
      </c>
      <c r="M250" s="6" t="s">
        <v>26</v>
      </c>
      <c r="N250" s="6"/>
      <c r="O250" s="6" t="s">
        <v>23</v>
      </c>
      <c r="P250" s="8">
        <f>SUM(Posts[[#This Row],[Likes]:[Comments]])</f>
        <v>3899</v>
      </c>
    </row>
    <row r="251" spans="1:16" x14ac:dyDescent="0.25">
      <c r="A251" s="6" t="s">
        <v>309</v>
      </c>
      <c r="B251" s="6" t="s">
        <v>17</v>
      </c>
      <c r="C251" s="9">
        <v>45792</v>
      </c>
      <c r="D251" s="6" t="s">
        <v>48</v>
      </c>
      <c r="E251" s="6" t="s">
        <v>73</v>
      </c>
      <c r="F251" s="7">
        <v>4782</v>
      </c>
      <c r="G251" s="7">
        <v>210</v>
      </c>
      <c r="H251" s="7">
        <v>311</v>
      </c>
      <c r="I251" s="7">
        <v>29793</v>
      </c>
      <c r="J251" s="28">
        <f>(Posts[[#This Row],[Likes]]+Posts[[#This Row],[Shares]]+Posts[[#This Row],[Comments]])/Posts[[#This Row],[Impressions]]</f>
        <v>0.17799483100057059</v>
      </c>
      <c r="K251" s="7">
        <v>37543</v>
      </c>
      <c r="L251" s="7">
        <v>145</v>
      </c>
      <c r="M251" s="6" t="s">
        <v>18</v>
      </c>
      <c r="N251" s="6"/>
      <c r="O251" s="6" t="s">
        <v>19</v>
      </c>
      <c r="P251" s="8">
        <f>SUM(Posts[[#This Row],[Likes]:[Comments]])</f>
        <v>5303</v>
      </c>
    </row>
    <row r="252" spans="1:16" x14ac:dyDescent="0.25">
      <c r="A252" s="6" t="s">
        <v>310</v>
      </c>
      <c r="B252" s="6" t="s">
        <v>17</v>
      </c>
      <c r="C252" s="9">
        <v>45480</v>
      </c>
      <c r="D252" s="6" t="s">
        <v>48</v>
      </c>
      <c r="E252" s="6" t="s">
        <v>60</v>
      </c>
      <c r="F252" s="7">
        <v>1848</v>
      </c>
      <c r="G252" s="7">
        <v>417</v>
      </c>
      <c r="H252" s="7">
        <v>294</v>
      </c>
      <c r="I252" s="7">
        <v>57819</v>
      </c>
      <c r="J252" s="28">
        <f>(Posts[[#This Row],[Likes]]+Posts[[#This Row],[Shares]]+Posts[[#This Row],[Comments]])/Posts[[#This Row],[Impressions]]</f>
        <v>4.4258807658382193E-2</v>
      </c>
      <c r="K252" s="7">
        <v>19798</v>
      </c>
      <c r="L252" s="7">
        <v>262</v>
      </c>
      <c r="M252" s="6" t="s">
        <v>22</v>
      </c>
      <c r="N252" s="6"/>
      <c r="O252" s="6" t="s">
        <v>23</v>
      </c>
      <c r="P252" s="8">
        <f>SUM(Posts[[#This Row],[Likes]:[Comments]])</f>
        <v>2559</v>
      </c>
    </row>
    <row r="253" spans="1:16" x14ac:dyDescent="0.25">
      <c r="A253" s="6" t="s">
        <v>311</v>
      </c>
      <c r="B253" s="6" t="s">
        <v>12</v>
      </c>
      <c r="C253" s="9">
        <v>45591</v>
      </c>
      <c r="D253" s="6" t="s">
        <v>48</v>
      </c>
      <c r="E253" s="6" t="s">
        <v>54</v>
      </c>
      <c r="F253" s="7">
        <v>4676</v>
      </c>
      <c r="G253" s="7">
        <v>211</v>
      </c>
      <c r="H253" s="7">
        <v>55</v>
      </c>
      <c r="I253" s="7">
        <v>45917</v>
      </c>
      <c r="J253" s="28">
        <f>(Posts[[#This Row],[Likes]]+Posts[[#This Row],[Shares]]+Posts[[#This Row],[Comments]])/Posts[[#This Row],[Impressions]]</f>
        <v>0.10762898272970794</v>
      </c>
      <c r="K253" s="7">
        <v>73503</v>
      </c>
      <c r="L253" s="7">
        <v>248</v>
      </c>
      <c r="M253" s="6" t="s">
        <v>26</v>
      </c>
      <c r="N253" s="6" t="s">
        <v>13</v>
      </c>
      <c r="O253" s="6" t="s">
        <v>23</v>
      </c>
      <c r="P253" s="8">
        <f>SUM(Posts[[#This Row],[Likes]:[Comments]])</f>
        <v>4942</v>
      </c>
    </row>
    <row r="254" spans="1:16" x14ac:dyDescent="0.25">
      <c r="A254" s="6" t="s">
        <v>312</v>
      </c>
      <c r="B254" s="6" t="s">
        <v>12</v>
      </c>
      <c r="C254" s="9">
        <v>45512</v>
      </c>
      <c r="D254" s="6" t="s">
        <v>48</v>
      </c>
      <c r="E254" s="6" t="s">
        <v>71</v>
      </c>
      <c r="F254" s="7">
        <v>1994</v>
      </c>
      <c r="G254" s="7">
        <v>197</v>
      </c>
      <c r="H254" s="7">
        <v>290</v>
      </c>
      <c r="I254" s="7">
        <v>49500</v>
      </c>
      <c r="J254" s="28">
        <f>(Posts[[#This Row],[Likes]]+Posts[[#This Row],[Shares]]+Posts[[#This Row],[Comments]])/Posts[[#This Row],[Impressions]]</f>
        <v>5.0121212121212122E-2</v>
      </c>
      <c r="K254" s="7">
        <v>23343</v>
      </c>
      <c r="L254" s="7">
        <v>160</v>
      </c>
      <c r="M254" s="6" t="s">
        <v>26</v>
      </c>
      <c r="N254" s="6" t="s">
        <v>13</v>
      </c>
      <c r="O254" s="6" t="s">
        <v>23</v>
      </c>
      <c r="P254" s="8">
        <f>SUM(Posts[[#This Row],[Likes]:[Comments]])</f>
        <v>2481</v>
      </c>
    </row>
    <row r="255" spans="1:16" x14ac:dyDescent="0.25">
      <c r="A255" s="6" t="s">
        <v>313</v>
      </c>
      <c r="B255" s="6" t="s">
        <v>17</v>
      </c>
      <c r="C255" s="9">
        <v>45691</v>
      </c>
      <c r="D255" s="6" t="s">
        <v>48</v>
      </c>
      <c r="E255" s="6" t="s">
        <v>60</v>
      </c>
      <c r="F255" s="7">
        <v>4995</v>
      </c>
      <c r="G255" s="7">
        <v>231</v>
      </c>
      <c r="H255" s="7">
        <v>94</v>
      </c>
      <c r="I255" s="7">
        <v>34431</v>
      </c>
      <c r="J255" s="28">
        <f>(Posts[[#This Row],[Likes]]+Posts[[#This Row],[Shares]]+Posts[[#This Row],[Comments]])/Posts[[#This Row],[Impressions]]</f>
        <v>0.15451192239551567</v>
      </c>
      <c r="K255" s="7">
        <v>32560</v>
      </c>
      <c r="L255" s="7">
        <v>262</v>
      </c>
      <c r="M255" s="6" t="s">
        <v>18</v>
      </c>
      <c r="N255" s="6"/>
      <c r="O255" s="6" t="s">
        <v>19</v>
      </c>
      <c r="P255" s="8">
        <f>SUM(Posts[[#This Row],[Likes]:[Comments]])</f>
        <v>5320</v>
      </c>
    </row>
    <row r="256" spans="1:16" x14ac:dyDescent="0.25">
      <c r="A256" s="6" t="s">
        <v>314</v>
      </c>
      <c r="B256" s="6" t="s">
        <v>17</v>
      </c>
      <c r="C256" s="9">
        <v>45385</v>
      </c>
      <c r="D256" s="6" t="s">
        <v>53</v>
      </c>
      <c r="E256" s="6" t="s">
        <v>65</v>
      </c>
      <c r="F256" s="7">
        <v>2291</v>
      </c>
      <c r="G256" s="7">
        <v>146</v>
      </c>
      <c r="H256" s="7">
        <v>399</v>
      </c>
      <c r="I256" s="7">
        <v>49319</v>
      </c>
      <c r="J256" s="28">
        <f>(Posts[[#This Row],[Likes]]+Posts[[#This Row],[Shares]]+Posts[[#This Row],[Comments]])/Posts[[#This Row],[Impressions]]</f>
        <v>5.7503193495407452E-2</v>
      </c>
      <c r="K256" s="7">
        <v>28056</v>
      </c>
      <c r="L256" s="7">
        <v>90</v>
      </c>
      <c r="M256" s="6" t="s">
        <v>26</v>
      </c>
      <c r="N256" s="6" t="s">
        <v>14</v>
      </c>
      <c r="O256" s="6" t="s">
        <v>19</v>
      </c>
      <c r="P256" s="8">
        <f>SUM(Posts[[#This Row],[Likes]:[Comments]])</f>
        <v>2836</v>
      </c>
    </row>
    <row r="257" spans="1:16" x14ac:dyDescent="0.25">
      <c r="A257" s="6" t="s">
        <v>315</v>
      </c>
      <c r="B257" s="6" t="s">
        <v>17</v>
      </c>
      <c r="C257" s="9">
        <v>45481</v>
      </c>
      <c r="D257" s="6" t="s">
        <v>53</v>
      </c>
      <c r="E257" s="6" t="s">
        <v>56</v>
      </c>
      <c r="F257" s="7">
        <v>2304</v>
      </c>
      <c r="G257" s="7">
        <v>289</v>
      </c>
      <c r="H257" s="7">
        <v>161</v>
      </c>
      <c r="I257" s="7">
        <v>52645</v>
      </c>
      <c r="J257" s="28">
        <f>(Posts[[#This Row],[Likes]]+Posts[[#This Row],[Shares]]+Posts[[#This Row],[Comments]])/Posts[[#This Row],[Impressions]]</f>
        <v>5.2312660271630736E-2</v>
      </c>
      <c r="K257" s="7">
        <v>66262</v>
      </c>
      <c r="L257" s="7">
        <v>146</v>
      </c>
      <c r="M257" s="6" t="s">
        <v>14</v>
      </c>
      <c r="N257" s="6" t="s">
        <v>18</v>
      </c>
      <c r="O257" s="6" t="s">
        <v>19</v>
      </c>
      <c r="P257" s="8">
        <f>SUM(Posts[[#This Row],[Likes]:[Comments]])</f>
        <v>2754</v>
      </c>
    </row>
    <row r="258" spans="1:16" x14ac:dyDescent="0.25">
      <c r="A258" s="6" t="s">
        <v>316</v>
      </c>
      <c r="B258" s="6" t="s">
        <v>17</v>
      </c>
      <c r="C258" s="9">
        <v>45451</v>
      </c>
      <c r="D258" s="6" t="s">
        <v>53</v>
      </c>
      <c r="E258" s="6" t="s">
        <v>65</v>
      </c>
      <c r="F258" s="7">
        <v>3413</v>
      </c>
      <c r="G258" s="7">
        <v>326</v>
      </c>
      <c r="H258" s="7">
        <v>86</v>
      </c>
      <c r="I258" s="7">
        <v>44680</v>
      </c>
      <c r="J258" s="28">
        <f>(Posts[[#This Row],[Likes]]+Posts[[#This Row],[Shares]]+Posts[[#This Row],[Comments]])/Posts[[#This Row],[Impressions]]</f>
        <v>8.5608773500447627E-2</v>
      </c>
      <c r="K258" s="7">
        <v>52719</v>
      </c>
      <c r="L258" s="7">
        <v>272</v>
      </c>
      <c r="M258" s="6" t="s">
        <v>26</v>
      </c>
      <c r="N258" s="6" t="s">
        <v>14</v>
      </c>
      <c r="O258" s="6" t="s">
        <v>19</v>
      </c>
      <c r="P258" s="8">
        <f>SUM(Posts[[#This Row],[Likes]:[Comments]])</f>
        <v>3825</v>
      </c>
    </row>
    <row r="259" spans="1:16" x14ac:dyDescent="0.25">
      <c r="A259" s="6" t="s">
        <v>317</v>
      </c>
      <c r="B259" s="6" t="s">
        <v>12</v>
      </c>
      <c r="C259" s="9">
        <v>45736</v>
      </c>
      <c r="D259" s="6" t="s">
        <v>78</v>
      </c>
      <c r="E259" s="6" t="s">
        <v>71</v>
      </c>
      <c r="F259" s="7">
        <v>1453</v>
      </c>
      <c r="G259" s="7">
        <v>156</v>
      </c>
      <c r="H259" s="7">
        <v>178</v>
      </c>
      <c r="I259" s="7">
        <v>52980</v>
      </c>
      <c r="J259" s="28">
        <f>(Posts[[#This Row],[Likes]]+Posts[[#This Row],[Shares]]+Posts[[#This Row],[Comments]])/Posts[[#This Row],[Impressions]]</f>
        <v>3.3729709324273313E-2</v>
      </c>
      <c r="K259" s="7">
        <v>57180</v>
      </c>
      <c r="L259" s="7">
        <v>286</v>
      </c>
      <c r="M259" s="6" t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   <row r="260" spans="1:16" x14ac:dyDescent="0.25">
      <c r="A260" s="6" t="s">
        <v>318</v>
      </c>
      <c r="B260" s="6" t="s">
        <v>17</v>
      </c>
      <c r="C260" s="9">
        <v>45676</v>
      </c>
      <c r="D260" s="6" t="s">
        <v>53</v>
      </c>
      <c r="E260" s="6" t="s">
        <v>58</v>
      </c>
      <c r="F260" s="7">
        <v>1651</v>
      </c>
      <c r="G260" s="7">
        <v>480</v>
      </c>
      <c r="H260" s="7">
        <v>282</v>
      </c>
      <c r="I260" s="7">
        <v>32140</v>
      </c>
      <c r="J260" s="28">
        <f>(Posts[[#This Row],[Likes]]+Posts[[#This Row],[Shares]]+Posts[[#This Row],[Comments]])/Posts[[#This Row],[Impressions]]</f>
        <v>7.5077784691972627E-2</v>
      </c>
      <c r="K260" s="7">
        <v>70560</v>
      </c>
      <c r="L260" s="7">
        <v>138</v>
      </c>
      <c r="M260" s="6" t="s">
        <v>22</v>
      </c>
      <c r="N260" s="6" t="s">
        <v>18</v>
      </c>
      <c r="O260" s="6" t="s">
        <v>19</v>
      </c>
      <c r="P260" s="8">
        <f>SUM(Posts[[#This Row],[Likes]:[Comments]])</f>
        <v>2413</v>
      </c>
    </row>
    <row r="261" spans="1:16" x14ac:dyDescent="0.25">
      <c r="A261" s="6" t="s">
        <v>319</v>
      </c>
      <c r="B261" s="6" t="s">
        <v>17</v>
      </c>
      <c r="C261" s="9">
        <v>45662</v>
      </c>
      <c r="D261" s="6" t="s">
        <v>53</v>
      </c>
      <c r="E261" s="6" t="s">
        <v>51</v>
      </c>
      <c r="F261" s="7">
        <v>3341</v>
      </c>
      <c r="G261" s="7">
        <v>154</v>
      </c>
      <c r="H261" s="7">
        <v>123</v>
      </c>
      <c r="I261" s="7">
        <v>43369</v>
      </c>
      <c r="J261" s="28">
        <f>(Posts[[#This Row],[Likes]]+Posts[[#This Row],[Shares]]+Posts[[#This Row],[Comments]])/Posts[[#This Row],[Impressions]]</f>
        <v>8.3423643616408028E-2</v>
      </c>
      <c r="K261" s="7">
        <v>49035</v>
      </c>
      <c r="L261" s="7">
        <v>128</v>
      </c>
      <c r="M261" s="6" t="s">
        <v>14</v>
      </c>
      <c r="N261" s="6" t="s">
        <v>18</v>
      </c>
      <c r="O261" s="6" t="s">
        <v>19</v>
      </c>
      <c r="P261" s="8">
        <f>SUM(Posts[[#This Row],[Likes]:[Comments]])</f>
        <v>3618</v>
      </c>
    </row>
    <row r="262" spans="1:16" x14ac:dyDescent="0.25">
      <c r="A262" s="6" t="s">
        <v>320</v>
      </c>
      <c r="B262" s="6" t="s">
        <v>17</v>
      </c>
      <c r="C262" s="9">
        <v>45612</v>
      </c>
      <c r="D262" s="6" t="s">
        <v>48</v>
      </c>
      <c r="E262" s="6" t="s">
        <v>71</v>
      </c>
      <c r="F262" s="7">
        <v>2972</v>
      </c>
      <c r="G262" s="7">
        <v>263</v>
      </c>
      <c r="H262" s="7">
        <v>308</v>
      </c>
      <c r="I262" s="7">
        <v>51740</v>
      </c>
      <c r="J262" s="28">
        <f>(Posts[[#This Row],[Likes]]+Posts[[#This Row],[Shares]]+Posts[[#This Row],[Comments]])/Posts[[#This Row],[Impressions]]</f>
        <v>6.8477000386548123E-2</v>
      </c>
      <c r="K262" s="7">
        <v>28214</v>
      </c>
      <c r="L262" s="7">
        <v>190</v>
      </c>
      <c r="M262" s="6" t="s">
        <v>22</v>
      </c>
      <c r="N262" s="6"/>
      <c r="O262" s="6" t="s">
        <v>23</v>
      </c>
      <c r="P262" s="8">
        <f>SUM(Posts[[#This Row],[Likes]:[Comments]])</f>
        <v>3543</v>
      </c>
    </row>
    <row r="263" spans="1:16" x14ac:dyDescent="0.25">
      <c r="A263" s="6" t="s">
        <v>321</v>
      </c>
      <c r="B263" s="6" t="s">
        <v>17</v>
      </c>
      <c r="C263" s="9">
        <v>45626</v>
      </c>
      <c r="D263" s="6" t="s">
        <v>53</v>
      </c>
      <c r="E263" s="6" t="s">
        <v>51</v>
      </c>
      <c r="F263" s="7">
        <v>4963</v>
      </c>
      <c r="G263" s="7">
        <v>255</v>
      </c>
      <c r="H263" s="7">
        <v>193</v>
      </c>
      <c r="I263" s="7">
        <v>44386</v>
      </c>
      <c r="J263" s="28">
        <f>(Posts[[#This Row],[Likes]]+Posts[[#This Row],[Shares]]+Posts[[#This Row],[Comments]])/Posts[[#This Row],[Impressions]]</f>
        <v>0.12190780876853062</v>
      </c>
      <c r="K263" s="7">
        <v>28415</v>
      </c>
      <c r="L263" s="7">
        <v>174</v>
      </c>
      <c r="M263" s="6" t="s">
        <v>14</v>
      </c>
      <c r="N263" s="6" t="s">
        <v>18</v>
      </c>
      <c r="O263" s="6" t="s">
        <v>19</v>
      </c>
      <c r="P263" s="8">
        <f>SUM(Posts[[#This Row],[Likes]:[Comments]])</f>
        <v>5411</v>
      </c>
    </row>
    <row r="264" spans="1:16" x14ac:dyDescent="0.25">
      <c r="A264" s="6" t="s">
        <v>322</v>
      </c>
      <c r="B264" s="6" t="s">
        <v>12</v>
      </c>
      <c r="C264" s="9">
        <v>45378</v>
      </c>
      <c r="D264" s="6" t="s">
        <v>48</v>
      </c>
      <c r="E264" s="6" t="s">
        <v>58</v>
      </c>
      <c r="F264" s="7">
        <v>2399</v>
      </c>
      <c r="G264" s="7">
        <v>191</v>
      </c>
      <c r="H264" s="7">
        <v>221</v>
      </c>
      <c r="I264" s="7">
        <v>51603</v>
      </c>
      <c r="J264" s="28">
        <f>(Posts[[#This Row],[Likes]]+Posts[[#This Row],[Shares]]+Posts[[#This Row],[Comments]])/Posts[[#This Row],[Impressions]]</f>
        <v>5.4473577117609438E-2</v>
      </c>
      <c r="K264" s="7">
        <v>40033</v>
      </c>
      <c r="L264" s="7">
        <v>173</v>
      </c>
      <c r="M264" s="6" t="s">
        <v>26</v>
      </c>
      <c r="N264" s="6" t="s">
        <v>13</v>
      </c>
      <c r="O264" s="6" t="s">
        <v>23</v>
      </c>
      <c r="P264" s="8">
        <f>SUM(Posts[[#This Row],[Likes]:[Comments]])</f>
        <v>2811</v>
      </c>
    </row>
    <row r="265" spans="1:16" x14ac:dyDescent="0.25">
      <c r="A265" s="6" t="s">
        <v>323</v>
      </c>
      <c r="B265" s="6" t="s">
        <v>12</v>
      </c>
      <c r="C265" s="9">
        <v>45808</v>
      </c>
      <c r="D265" s="6" t="s">
        <v>78</v>
      </c>
      <c r="E265" s="6" t="s">
        <v>62</v>
      </c>
      <c r="F265" s="7">
        <v>2162</v>
      </c>
      <c r="G265" s="7">
        <v>318</v>
      </c>
      <c r="H265" s="7">
        <v>83</v>
      </c>
      <c r="I265" s="7">
        <v>46719</v>
      </c>
      <c r="J265" s="28">
        <f>(Posts[[#This Row],[Likes]]+Posts[[#This Row],[Shares]]+Posts[[#This Row],[Comments]])/Posts[[#This Row],[Impressions]]</f>
        <v>5.4859907104176028E-2</v>
      </c>
      <c r="K265" s="7">
        <v>20482</v>
      </c>
      <c r="L265" s="7">
        <v>185</v>
      </c>
      <c r="M265" s="6" t="s">
        <v>26</v>
      </c>
      <c r="N265" s="6" t="s">
        <v>22</v>
      </c>
      <c r="O265" s="6" t="s">
        <v>9</v>
      </c>
      <c r="P265" s="8">
        <f>SUM(Posts[[#This Row],[Likes]:[Comments]])</f>
        <v>2563</v>
      </c>
    </row>
    <row r="266" spans="1:16" x14ac:dyDescent="0.25">
      <c r="A266" s="6" t="s">
        <v>324</v>
      </c>
      <c r="B266" s="6" t="s">
        <v>17</v>
      </c>
      <c r="C266" s="9">
        <v>45825</v>
      </c>
      <c r="D266" s="6" t="s">
        <v>53</v>
      </c>
      <c r="E266" s="6" t="s">
        <v>51</v>
      </c>
      <c r="F266" s="7">
        <v>4341</v>
      </c>
      <c r="G266" s="7">
        <v>141</v>
      </c>
      <c r="H266" s="7">
        <v>63</v>
      </c>
      <c r="I266" s="7">
        <v>50081</v>
      </c>
      <c r="J266" s="28">
        <f>(Posts[[#This Row],[Likes]]+Posts[[#This Row],[Shares]]+Posts[[#This Row],[Comments]])/Posts[[#This Row],[Impressions]]</f>
        <v>9.0752980172121162E-2</v>
      </c>
      <c r="K266" s="7">
        <v>27507</v>
      </c>
      <c r="L266" s="7">
        <v>221</v>
      </c>
      <c r="M266" s="6" t="s">
        <v>26</v>
      </c>
      <c r="N266" s="6" t="s">
        <v>14</v>
      </c>
      <c r="O266" s="6" t="s">
        <v>19</v>
      </c>
      <c r="P266" s="8">
        <f>SUM(Posts[[#This Row],[Likes]:[Comments]])</f>
        <v>4545</v>
      </c>
    </row>
    <row r="267" spans="1:16" x14ac:dyDescent="0.25">
      <c r="A267" s="6" t="s">
        <v>325</v>
      </c>
      <c r="B267" s="6" t="s">
        <v>11</v>
      </c>
      <c r="C267" s="9">
        <v>45442</v>
      </c>
      <c r="D267" s="6" t="s">
        <v>53</v>
      </c>
      <c r="E267" s="6" t="s">
        <v>62</v>
      </c>
      <c r="F267" s="7">
        <v>2448</v>
      </c>
      <c r="G267" s="7">
        <v>464</v>
      </c>
      <c r="H267" s="7">
        <v>98</v>
      </c>
      <c r="I267" s="7">
        <v>25737</v>
      </c>
      <c r="J267" s="28">
        <f>(Posts[[#This Row],[Likes]]+Posts[[#This Row],[Shares]]+Posts[[#This Row],[Comments]])/Posts[[#This Row],[Impressions]]</f>
        <v>0.11695224773672146</v>
      </c>
      <c r="K267" s="7">
        <v>48545</v>
      </c>
      <c r="L267" s="7">
        <v>246</v>
      </c>
      <c r="M267" s="6" t="s">
        <v>18</v>
      </c>
      <c r="N267" s="6"/>
      <c r="O267" s="6" t="s">
        <v>15</v>
      </c>
      <c r="P267" s="8">
        <f>SUM(Posts[[#This Row],[Likes]:[Comments]])</f>
        <v>3010</v>
      </c>
    </row>
    <row r="268" spans="1:16" x14ac:dyDescent="0.25">
      <c r="A268" s="6" t="s">
        <v>326</v>
      </c>
      <c r="B268" s="6" t="s">
        <v>12</v>
      </c>
      <c r="C268" s="9">
        <v>45604</v>
      </c>
      <c r="D268" s="6" t="s">
        <v>48</v>
      </c>
      <c r="E268" s="6" t="s">
        <v>65</v>
      </c>
      <c r="F268" s="7">
        <v>2471</v>
      </c>
      <c r="G268" s="7">
        <v>166</v>
      </c>
      <c r="H268" s="7">
        <v>320</v>
      </c>
      <c r="I268" s="7">
        <v>48254</v>
      </c>
      <c r="J268" s="28">
        <f>(Posts[[#This Row],[Likes]]+Posts[[#This Row],[Shares]]+Posts[[#This Row],[Comments]])/Posts[[#This Row],[Impressions]]</f>
        <v>6.1279893894806647E-2</v>
      </c>
      <c r="K268" s="7">
        <v>46900</v>
      </c>
      <c r="L268" s="7">
        <v>111</v>
      </c>
      <c r="M268" s="6" t="s">
        <v>26</v>
      </c>
      <c r="N268" s="6" t="s">
        <v>13</v>
      </c>
      <c r="O268" s="6" t="s">
        <v>23</v>
      </c>
      <c r="P268" s="8">
        <f>SUM(Posts[[#This Row],[Likes]:[Comments]])</f>
        <v>2957</v>
      </c>
    </row>
    <row r="269" spans="1:16" x14ac:dyDescent="0.25">
      <c r="A269" s="6" t="s">
        <v>327</v>
      </c>
      <c r="B269" s="6" t="s">
        <v>12</v>
      </c>
      <c r="C269" s="9">
        <v>45368</v>
      </c>
      <c r="D269" s="6" t="s">
        <v>78</v>
      </c>
      <c r="E269" s="6" t="s">
        <v>51</v>
      </c>
      <c r="F269" s="7">
        <v>2692</v>
      </c>
      <c r="G269" s="7">
        <v>446</v>
      </c>
      <c r="H269" s="7">
        <v>216</v>
      </c>
      <c r="I269" s="7">
        <v>45818</v>
      </c>
      <c r="J269" s="28">
        <f>(Posts[[#This Row],[Likes]]+Posts[[#This Row],[Shares]]+Posts[[#This Row],[Comments]])/Posts[[#This Row],[Impressions]]</f>
        <v>7.3202671439172376E-2</v>
      </c>
      <c r="K269" s="7">
        <v>62723</v>
      </c>
      <c r="L269" s="7">
        <v>85</v>
      </c>
      <c r="M269" s="6" t="s">
        <v>26</v>
      </c>
      <c r="N269" s="6" t="s">
        <v>22</v>
      </c>
      <c r="O269" s="6" t="s">
        <v>9</v>
      </c>
      <c r="P269" s="8">
        <f>SUM(Posts[[#This Row],[Likes]:[Comments]])</f>
        <v>3354</v>
      </c>
    </row>
    <row r="270" spans="1:16" x14ac:dyDescent="0.25">
      <c r="A270" s="6" t="s">
        <v>328</v>
      </c>
      <c r="B270" s="6" t="s">
        <v>12</v>
      </c>
      <c r="C270" s="9">
        <v>45464</v>
      </c>
      <c r="D270" s="6" t="s">
        <v>78</v>
      </c>
      <c r="E270" s="6" t="s">
        <v>58</v>
      </c>
      <c r="F270" s="7">
        <v>4621</v>
      </c>
      <c r="G270" s="7">
        <v>374</v>
      </c>
      <c r="H270" s="7">
        <v>298</v>
      </c>
      <c r="I270" s="7">
        <v>56979</v>
      </c>
      <c r="J270" s="28">
        <f>(Posts[[#This Row],[Likes]]+Posts[[#This Row],[Shares]]+Posts[[#This Row],[Comments]])/Posts[[#This Row],[Impressions]]</f>
        <v>9.2893873181347508E-2</v>
      </c>
      <c r="K270" s="7">
        <v>24098</v>
      </c>
      <c r="L270" s="7">
        <v>205</v>
      </c>
      <c r="M270" s="6" t="s">
        <v>26</v>
      </c>
      <c r="N270" s="6" t="s">
        <v>22</v>
      </c>
      <c r="O270" s="6" t="s">
        <v>9</v>
      </c>
      <c r="P270" s="8">
        <f>SUM(Posts[[#This Row],[Likes]:[Comments]])</f>
        <v>5293</v>
      </c>
    </row>
    <row r="271" spans="1:16" x14ac:dyDescent="0.25">
      <c r="A271" s="6" t="s">
        <v>329</v>
      </c>
      <c r="B271" s="6" t="s">
        <v>17</v>
      </c>
      <c r="C271" s="9">
        <v>45609</v>
      </c>
      <c r="D271" s="6" t="s">
        <v>53</v>
      </c>
      <c r="E271" s="6" t="s">
        <v>54</v>
      </c>
      <c r="F271" s="7">
        <v>1409</v>
      </c>
      <c r="G271" s="7">
        <v>466</v>
      </c>
      <c r="H271" s="7">
        <v>105</v>
      </c>
      <c r="I271" s="7">
        <v>58923</v>
      </c>
      <c r="J271" s="28">
        <f>(Posts[[#This Row],[Likes]]+Posts[[#This Row],[Shares]]+Posts[[#This Row],[Comments]])/Posts[[#This Row],[Impressions]]</f>
        <v>3.3603177027646251E-2</v>
      </c>
      <c r="K271" s="7">
        <v>38753</v>
      </c>
      <c r="L271" s="7">
        <v>265</v>
      </c>
      <c r="M271" s="6" t="s">
        <v>26</v>
      </c>
      <c r="N271" s="6" t="s">
        <v>14</v>
      </c>
      <c r="O271" s="6" t="s">
        <v>19</v>
      </c>
      <c r="P271" s="8">
        <f>SUM(Posts[[#This Row],[Likes]:[Comments]])</f>
        <v>1980</v>
      </c>
    </row>
    <row r="272" spans="1:16" x14ac:dyDescent="0.25">
      <c r="A272" s="6" t="s">
        <v>330</v>
      </c>
      <c r="B272" s="6" t="s">
        <v>17</v>
      </c>
      <c r="C272" s="9">
        <v>45693</v>
      </c>
      <c r="D272" s="6" t="s">
        <v>53</v>
      </c>
      <c r="E272" s="6" t="s">
        <v>49</v>
      </c>
      <c r="F272" s="7">
        <v>3029</v>
      </c>
      <c r="G272" s="7">
        <v>440</v>
      </c>
      <c r="H272" s="7">
        <v>66</v>
      </c>
      <c r="I272" s="7">
        <v>23815</v>
      </c>
      <c r="J272" s="28">
        <f>(Posts[[#This Row],[Likes]]+Posts[[#This Row],[Shares]]+Posts[[#This Row],[Comments]])/Posts[[#This Row],[Impressions]]</f>
        <v>0.14843585975225698</v>
      </c>
      <c r="K272" s="7">
        <v>47895</v>
      </c>
      <c r="L272" s="7">
        <v>210</v>
      </c>
      <c r="M272" s="6" t="s">
        <v>26</v>
      </c>
      <c r="N272" s="6" t="s">
        <v>14</v>
      </c>
      <c r="O272" s="6" t="s">
        <v>19</v>
      </c>
      <c r="P272" s="8">
        <f>SUM(Posts[[#This Row],[Likes]:[Comments]])</f>
        <v>3535</v>
      </c>
    </row>
    <row r="273" spans="1:16" x14ac:dyDescent="0.25">
      <c r="A273" s="6" t="s">
        <v>331</v>
      </c>
      <c r="B273" s="6" t="s">
        <v>17</v>
      </c>
      <c r="C273" s="9">
        <v>45603</v>
      </c>
      <c r="D273" s="6" t="s">
        <v>48</v>
      </c>
      <c r="E273" s="6" t="s">
        <v>51</v>
      </c>
      <c r="F273" s="7">
        <v>2229</v>
      </c>
      <c r="G273" s="7">
        <v>395</v>
      </c>
      <c r="H273" s="7">
        <v>328</v>
      </c>
      <c r="I273" s="7">
        <v>56921</v>
      </c>
      <c r="J273" s="28">
        <f>(Posts[[#This Row],[Likes]]+Posts[[#This Row],[Shares]]+Posts[[#This Row],[Comments]])/Posts[[#This Row],[Impressions]]</f>
        <v>5.1861351697967357E-2</v>
      </c>
      <c r="K273" s="7">
        <v>37176</v>
      </c>
      <c r="L273" s="7">
        <v>126</v>
      </c>
      <c r="M273" s="6" t="s">
        <v>22</v>
      </c>
      <c r="N273" s="6"/>
      <c r="O273" s="6" t="s">
        <v>23</v>
      </c>
      <c r="P273" s="8">
        <f>SUM(Posts[[#This Row],[Likes]:[Comments]])</f>
        <v>2952</v>
      </c>
    </row>
    <row r="274" spans="1:16" x14ac:dyDescent="0.25">
      <c r="A274" s="6" t="s">
        <v>332</v>
      </c>
      <c r="B274" s="6" t="s">
        <v>17</v>
      </c>
      <c r="C274" s="9">
        <v>45334</v>
      </c>
      <c r="D274" s="6" t="s">
        <v>48</v>
      </c>
      <c r="E274" s="6" t="s">
        <v>51</v>
      </c>
      <c r="F274" s="7">
        <v>2691</v>
      </c>
      <c r="G274" s="7">
        <v>486</v>
      </c>
      <c r="H274" s="7">
        <v>206</v>
      </c>
      <c r="I274" s="7">
        <v>51133</v>
      </c>
      <c r="J274" s="28">
        <f>(Posts[[#This Row],[Likes]]+Posts[[#This Row],[Shares]]+Posts[[#This Row],[Comments]])/Posts[[#This Row],[Impressions]]</f>
        <v>6.6160796354604659E-2</v>
      </c>
      <c r="K274" s="7">
        <v>44583</v>
      </c>
      <c r="L274" s="7">
        <v>276</v>
      </c>
      <c r="M274" s="6" t="s">
        <v>18</v>
      </c>
      <c r="N274" s="6"/>
      <c r="O274" s="6" t="s">
        <v>19</v>
      </c>
      <c r="P274" s="8">
        <f>SUM(Posts[[#This Row],[Likes]:[Comments]])</f>
        <v>3383</v>
      </c>
    </row>
    <row r="275" spans="1:16" x14ac:dyDescent="0.25">
      <c r="A275" s="6" t="s">
        <v>333</v>
      </c>
      <c r="B275" s="6" t="s">
        <v>11</v>
      </c>
      <c r="C275" s="9">
        <v>45573</v>
      </c>
      <c r="D275" s="6" t="s">
        <v>48</v>
      </c>
      <c r="E275" s="6" t="s">
        <v>51</v>
      </c>
      <c r="F275" s="7">
        <v>2110</v>
      </c>
      <c r="G275" s="7">
        <v>384</v>
      </c>
      <c r="H275" s="7">
        <v>236</v>
      </c>
      <c r="I275" s="7">
        <v>49965</v>
      </c>
      <c r="J275" s="28">
        <f>(Posts[[#This Row],[Likes]]+Posts[[#This Row],[Shares]]+Posts[[#This Row],[Comments]])/Posts[[#This Row],[Impressions]]</f>
        <v>5.4638246772740921E-2</v>
      </c>
      <c r="K275" s="7">
        <v>61555</v>
      </c>
      <c r="L275" s="7">
        <v>195</v>
      </c>
      <c r="M275" s="6" t="s">
        <v>26</v>
      </c>
      <c r="N275" s="6"/>
      <c r="O275" s="6" t="s">
        <v>23</v>
      </c>
      <c r="P275" s="8">
        <f>SUM(Posts[[#This Row],[Likes]:[Comments]])</f>
        <v>2730</v>
      </c>
    </row>
    <row r="276" spans="1:16" x14ac:dyDescent="0.25">
      <c r="A276" s="6" t="s">
        <v>334</v>
      </c>
      <c r="B276" s="6" t="s">
        <v>11</v>
      </c>
      <c r="C276" s="9">
        <v>45341</v>
      </c>
      <c r="D276" s="6" t="s">
        <v>48</v>
      </c>
      <c r="E276" s="6" t="s">
        <v>56</v>
      </c>
      <c r="F276" s="7">
        <v>4752</v>
      </c>
      <c r="G276" s="7">
        <v>449</v>
      </c>
      <c r="H276" s="7">
        <v>309</v>
      </c>
      <c r="I276" s="7">
        <v>58530</v>
      </c>
      <c r="J276" s="28">
        <f>(Posts[[#This Row],[Likes]]+Posts[[#This Row],[Shares]]+Posts[[#This Row],[Comments]])/Posts[[#This Row],[Impressions]]</f>
        <v>9.4139757389372969E-2</v>
      </c>
      <c r="K276" s="7">
        <v>26630</v>
      </c>
      <c r="L276" s="7">
        <v>234</v>
      </c>
      <c r="M276" s="6" t="s">
        <v>26</v>
      </c>
      <c r="N276" s="6"/>
      <c r="O276" s="6" t="s">
        <v>23</v>
      </c>
      <c r="P276" s="8">
        <f>SUM(Posts[[#This Row],[Likes]:[Comments]])</f>
        <v>5510</v>
      </c>
    </row>
    <row r="277" spans="1:16" x14ac:dyDescent="0.25">
      <c r="A277" s="6" t="s">
        <v>335</v>
      </c>
      <c r="B277" s="6" t="s">
        <v>17</v>
      </c>
      <c r="C277" s="9">
        <v>45720</v>
      </c>
      <c r="D277" s="6" t="s">
        <v>48</v>
      </c>
      <c r="E277" s="6" t="s">
        <v>49</v>
      </c>
      <c r="F277" s="7">
        <v>2177</v>
      </c>
      <c r="G277" s="7">
        <v>258</v>
      </c>
      <c r="H277" s="7">
        <v>292</v>
      </c>
      <c r="I277" s="7">
        <v>47276</v>
      </c>
      <c r="J277" s="28">
        <f>(Posts[[#This Row],[Likes]]+Posts[[#This Row],[Shares]]+Posts[[#This Row],[Comments]])/Posts[[#This Row],[Impressions]]</f>
        <v>5.7682545054573146E-2</v>
      </c>
      <c r="K277" s="7">
        <v>51324</v>
      </c>
      <c r="L277" s="7">
        <v>143</v>
      </c>
      <c r="M277" s="6" t="s">
        <v>18</v>
      </c>
      <c r="N277" s="6"/>
      <c r="O277" s="6" t="s">
        <v>19</v>
      </c>
      <c r="P277" s="8">
        <f>SUM(Posts[[#This Row],[Likes]:[Comments]])</f>
        <v>2727</v>
      </c>
    </row>
    <row r="278" spans="1:16" x14ac:dyDescent="0.25">
      <c r="A278" s="6" t="s">
        <v>336</v>
      </c>
      <c r="B278" s="6" t="s">
        <v>11</v>
      </c>
      <c r="C278" s="9">
        <v>45691</v>
      </c>
      <c r="D278" s="6" t="s">
        <v>53</v>
      </c>
      <c r="E278" s="6" t="s">
        <v>54</v>
      </c>
      <c r="F278" s="7">
        <v>1205</v>
      </c>
      <c r="G278" s="7">
        <v>486</v>
      </c>
      <c r="H278" s="7">
        <v>269</v>
      </c>
      <c r="I278" s="7">
        <v>23341</v>
      </c>
      <c r="J278" s="28">
        <f>(Posts[[#This Row],[Likes]]+Posts[[#This Row],[Shares]]+Posts[[#This Row],[Comments]])/Posts[[#This Row],[Impressions]]</f>
        <v>8.3972409065592737E-2</v>
      </c>
      <c r="K278" s="7">
        <v>42411</v>
      </c>
      <c r="L278" s="7">
        <v>184</v>
      </c>
      <c r="M278" s="6" t="s">
        <v>18</v>
      </c>
      <c r="N278" s="6"/>
      <c r="O278" s="6" t="s">
        <v>15</v>
      </c>
      <c r="P278" s="8">
        <f>SUM(Posts[[#This Row],[Likes]:[Comments]])</f>
        <v>1960</v>
      </c>
    </row>
    <row r="279" spans="1:16" x14ac:dyDescent="0.25">
      <c r="A279" s="6" t="s">
        <v>337</v>
      </c>
      <c r="B279" s="6" t="s">
        <v>11</v>
      </c>
      <c r="C279" s="9">
        <v>45628</v>
      </c>
      <c r="D279" s="6" t="s">
        <v>48</v>
      </c>
      <c r="E279" s="6" t="s">
        <v>65</v>
      </c>
      <c r="F279" s="7">
        <v>3194</v>
      </c>
      <c r="G279" s="7">
        <v>292</v>
      </c>
      <c r="H279" s="7">
        <v>245</v>
      </c>
      <c r="I279" s="7">
        <v>56371</v>
      </c>
      <c r="J279" s="28">
        <f>(Posts[[#This Row],[Likes]]+Posts[[#This Row],[Shares]]+Posts[[#This Row],[Comments]])/Posts[[#This Row],[Impressions]]</f>
        <v>6.6186514342481059E-2</v>
      </c>
      <c r="K279" s="7">
        <v>65597</v>
      </c>
      <c r="L279" s="7">
        <v>163</v>
      </c>
      <c r="M279" s="6" t="s">
        <v>22</v>
      </c>
      <c r="N279" s="6" t="s">
        <v>18</v>
      </c>
      <c r="O279" s="6" t="s">
        <v>19</v>
      </c>
      <c r="P279" s="8">
        <f>SUM(Posts[[#This Row],[Likes]:[Comments]])</f>
        <v>3731</v>
      </c>
    </row>
    <row r="280" spans="1:16" x14ac:dyDescent="0.25">
      <c r="A280" s="6" t="s">
        <v>338</v>
      </c>
      <c r="B280" s="6" t="s">
        <v>17</v>
      </c>
      <c r="C280" s="9">
        <v>45676</v>
      </c>
      <c r="D280" s="6" t="s">
        <v>53</v>
      </c>
      <c r="E280" s="6" t="s">
        <v>54</v>
      </c>
      <c r="F280" s="7">
        <v>3507</v>
      </c>
      <c r="G280" s="7">
        <v>295</v>
      </c>
      <c r="H280" s="7">
        <v>371</v>
      </c>
      <c r="I280" s="7">
        <v>20410</v>
      </c>
      <c r="J280" s="28">
        <f>(Posts[[#This Row],[Likes]]+Posts[[#This Row],[Shares]]+Posts[[#This Row],[Comments]])/Posts[[#This Row],[Impressions]]</f>
        <v>0.20445859872611466</v>
      </c>
      <c r="K280" s="7">
        <v>53965</v>
      </c>
      <c r="L280" s="7">
        <v>212</v>
      </c>
      <c r="M280" s="6" t="s">
        <v>22</v>
      </c>
      <c r="N280" s="6" t="s">
        <v>18</v>
      </c>
      <c r="O280" s="6" t="s">
        <v>19</v>
      </c>
      <c r="P280" s="8">
        <f>SUM(Posts[[#This Row],[Likes]:[Comments]])</f>
        <v>4173</v>
      </c>
    </row>
    <row r="281" spans="1:16" x14ac:dyDescent="0.25">
      <c r="A281" s="6" t="s">
        <v>339</v>
      </c>
      <c r="B281" s="6" t="s">
        <v>17</v>
      </c>
      <c r="C281" s="9">
        <v>45563</v>
      </c>
      <c r="D281" s="6" t="s">
        <v>53</v>
      </c>
      <c r="E281" s="6" t="s">
        <v>56</v>
      </c>
      <c r="F281" s="7">
        <v>4471</v>
      </c>
      <c r="G281" s="7">
        <v>317</v>
      </c>
      <c r="H281" s="7">
        <v>249</v>
      </c>
      <c r="I281" s="7">
        <v>44862</v>
      </c>
      <c r="J281" s="28">
        <f>(Posts[[#This Row],[Likes]]+Posts[[#This Row],[Shares]]+Posts[[#This Row],[Comments]])/Posts[[#This Row],[Impressions]]</f>
        <v>0.1122776514644911</v>
      </c>
      <c r="K281" s="7">
        <v>33365</v>
      </c>
      <c r="L281" s="7">
        <v>184</v>
      </c>
      <c r="M281" s="6" t="s">
        <v>26</v>
      </c>
      <c r="N281" s="6" t="s">
        <v>14</v>
      </c>
      <c r="O281" s="6" t="s">
        <v>19</v>
      </c>
      <c r="P281" s="8">
        <f>SUM(Posts[[#This Row],[Likes]:[Comments]])</f>
        <v>5037</v>
      </c>
    </row>
    <row r="282" spans="1:16" x14ac:dyDescent="0.25">
      <c r="A282" s="6" t="s">
        <v>340</v>
      </c>
      <c r="B282" s="6" t="s">
        <v>11</v>
      </c>
      <c r="C282" s="9">
        <v>45298</v>
      </c>
      <c r="D282" s="6" t="s">
        <v>48</v>
      </c>
      <c r="E282" s="6" t="s">
        <v>65</v>
      </c>
      <c r="F282" s="7">
        <v>4931</v>
      </c>
      <c r="G282" s="7">
        <v>469</v>
      </c>
      <c r="H282" s="7">
        <v>193</v>
      </c>
      <c r="I282" s="7">
        <v>56701</v>
      </c>
      <c r="J282" s="28">
        <f>(Posts[[#This Row],[Likes]]+Posts[[#This Row],[Shares]]+Posts[[#This Row],[Comments]])/Posts[[#This Row],[Impressions]]</f>
        <v>9.8640235621946709E-2</v>
      </c>
      <c r="K282" s="7">
        <v>69437</v>
      </c>
      <c r="L282" s="7">
        <v>291</v>
      </c>
      <c r="M282" s="6" t="s">
        <v>22</v>
      </c>
      <c r="N282" s="6" t="s">
        <v>18</v>
      </c>
      <c r="O282" s="6" t="s">
        <v>19</v>
      </c>
      <c r="P282" s="8">
        <f>SUM(Posts[[#This Row],[Likes]:[Comments]])</f>
        <v>5593</v>
      </c>
    </row>
    <row r="283" spans="1:16" x14ac:dyDescent="0.25">
      <c r="A283" s="6" t="s">
        <v>341</v>
      </c>
      <c r="B283" s="6" t="s">
        <v>17</v>
      </c>
      <c r="C283" s="9">
        <v>45343</v>
      </c>
      <c r="D283" s="6" t="s">
        <v>53</v>
      </c>
      <c r="E283" s="6" t="s">
        <v>62</v>
      </c>
      <c r="F283" s="7">
        <v>2604</v>
      </c>
      <c r="G283" s="7">
        <v>439</v>
      </c>
      <c r="H283" s="7">
        <v>148</v>
      </c>
      <c r="I283" s="7">
        <v>58468</v>
      </c>
      <c r="J283" s="28">
        <f>(Posts[[#This Row],[Likes]]+Posts[[#This Row],[Shares]]+Posts[[#This Row],[Comments]])/Posts[[#This Row],[Impressions]]</f>
        <v>5.4576862557296296E-2</v>
      </c>
      <c r="K283" s="7">
        <v>39629</v>
      </c>
      <c r="L283" s="7">
        <v>163</v>
      </c>
      <c r="M283" s="6" t="s">
        <v>14</v>
      </c>
      <c r="N283" s="6" t="s">
        <v>18</v>
      </c>
      <c r="O283" s="6" t="s">
        <v>19</v>
      </c>
      <c r="P283" s="8">
        <f>SUM(Posts[[#This Row],[Likes]:[Comments]])</f>
        <v>3191</v>
      </c>
    </row>
    <row r="284" spans="1:16" x14ac:dyDescent="0.25">
      <c r="A284" s="6" t="s">
        <v>342</v>
      </c>
      <c r="B284" s="6" t="s">
        <v>11</v>
      </c>
      <c r="C284" s="9">
        <v>45531</v>
      </c>
      <c r="D284" s="6" t="s">
        <v>48</v>
      </c>
      <c r="E284" s="6" t="s">
        <v>58</v>
      </c>
      <c r="F284" s="7">
        <v>4197</v>
      </c>
      <c r="G284" s="7">
        <v>359</v>
      </c>
      <c r="H284" s="7">
        <v>280</v>
      </c>
      <c r="I284" s="7">
        <v>56048</v>
      </c>
      <c r="J284" s="28">
        <f>(Posts[[#This Row],[Likes]]+Posts[[#This Row],[Shares]]+Posts[[#This Row],[Comments]])/Posts[[#This Row],[Impressions]]</f>
        <v>8.628318584070796E-2</v>
      </c>
      <c r="K284" s="7">
        <v>70930</v>
      </c>
      <c r="L284" s="7">
        <v>295</v>
      </c>
      <c r="M284" s="6" t="s">
        <v>26</v>
      </c>
      <c r="N284" s="6"/>
      <c r="O284" s="6" t="s">
        <v>23</v>
      </c>
      <c r="P284" s="8">
        <f>SUM(Posts[[#This Row],[Likes]:[Comments]])</f>
        <v>4836</v>
      </c>
    </row>
    <row r="285" spans="1:16" x14ac:dyDescent="0.25">
      <c r="A285" s="6" t="s">
        <v>343</v>
      </c>
      <c r="B285" s="6" t="s">
        <v>11</v>
      </c>
      <c r="C285" s="9">
        <v>45589</v>
      </c>
      <c r="D285" s="6" t="s">
        <v>53</v>
      </c>
      <c r="E285" s="6" t="s">
        <v>65</v>
      </c>
      <c r="F285" s="7">
        <v>1914</v>
      </c>
      <c r="G285" s="7">
        <v>255</v>
      </c>
      <c r="H285" s="7">
        <v>156</v>
      </c>
      <c r="I285" s="7">
        <v>27660</v>
      </c>
      <c r="J285" s="28">
        <f>(Posts[[#This Row],[Likes]]+Posts[[#This Row],[Shares]]+Posts[[#This Row],[Comments]])/Posts[[#This Row],[Impressions]]</f>
        <v>8.4056399132321047E-2</v>
      </c>
      <c r="K285" s="7">
        <v>47776</v>
      </c>
      <c r="L285" s="7">
        <v>111</v>
      </c>
      <c r="M285" s="6" t="s">
        <v>18</v>
      </c>
      <c r="N285" s="6"/>
      <c r="O285" s="6" t="s">
        <v>15</v>
      </c>
      <c r="P285" s="8">
        <f>SUM(Posts[[#This Row],[Likes]:[Comments]])</f>
        <v>2325</v>
      </c>
    </row>
    <row r="286" spans="1:16" x14ac:dyDescent="0.25">
      <c r="A286" s="6" t="s">
        <v>344</v>
      </c>
      <c r="B286" s="6" t="s">
        <v>12</v>
      </c>
      <c r="C286" s="9">
        <v>45686</v>
      </c>
      <c r="D286" s="6" t="s">
        <v>48</v>
      </c>
      <c r="E286" s="6" t="s">
        <v>54</v>
      </c>
      <c r="F286" s="7">
        <v>1334</v>
      </c>
      <c r="G286" s="7">
        <v>357</v>
      </c>
      <c r="H286" s="7">
        <v>257</v>
      </c>
      <c r="I286" s="7">
        <v>56910</v>
      </c>
      <c r="J286" s="28">
        <f>(Posts[[#This Row],[Likes]]+Posts[[#This Row],[Shares]]+Posts[[#This Row],[Comments]])/Posts[[#This Row],[Impressions]]</f>
        <v>3.4229485151994379E-2</v>
      </c>
      <c r="K286" s="7">
        <v>70606</v>
      </c>
      <c r="L286" s="7">
        <v>228</v>
      </c>
      <c r="M286" s="6" t="s">
        <v>26</v>
      </c>
      <c r="N286" s="6" t="s">
        <v>13</v>
      </c>
      <c r="O286" s="6" t="s">
        <v>23</v>
      </c>
      <c r="P286" s="8">
        <f>SUM(Posts[[#This Row],[Likes]:[Comments]])</f>
        <v>1948</v>
      </c>
    </row>
    <row r="287" spans="1:16" x14ac:dyDescent="0.25">
      <c r="A287" s="6" t="s">
        <v>345</v>
      </c>
      <c r="B287" s="6" t="s">
        <v>11</v>
      </c>
      <c r="C287" s="9">
        <v>45413</v>
      </c>
      <c r="D287" s="6" t="s">
        <v>48</v>
      </c>
      <c r="E287" s="6" t="s">
        <v>62</v>
      </c>
      <c r="F287" s="7">
        <v>3359</v>
      </c>
      <c r="G287" s="7">
        <v>137</v>
      </c>
      <c r="H287" s="7">
        <v>387</v>
      </c>
      <c r="I287" s="7">
        <v>33861</v>
      </c>
      <c r="J287" s="28">
        <f>(Posts[[#This Row],[Likes]]+Posts[[#This Row],[Shares]]+Posts[[#This Row],[Comments]])/Posts[[#This Row],[Impressions]]</f>
        <v>0.11467469950680724</v>
      </c>
      <c r="K287" s="7">
        <v>47257</v>
      </c>
      <c r="L287" s="7">
        <v>198</v>
      </c>
      <c r="M287" s="6" t="s">
        <v>26</v>
      </c>
      <c r="N287" s="6"/>
      <c r="O287" s="6" t="s">
        <v>23</v>
      </c>
      <c r="P287" s="8">
        <f>SUM(Posts[[#This Row],[Likes]:[Comments]])</f>
        <v>3883</v>
      </c>
    </row>
    <row r="288" spans="1:16" x14ac:dyDescent="0.25">
      <c r="A288" s="6" t="s">
        <v>346</v>
      </c>
      <c r="B288" s="6" t="s">
        <v>12</v>
      </c>
      <c r="C288" s="9">
        <v>45468</v>
      </c>
      <c r="D288" s="6" t="s">
        <v>48</v>
      </c>
      <c r="E288" s="6" t="s">
        <v>73</v>
      </c>
      <c r="F288" s="7">
        <v>2172</v>
      </c>
      <c r="G288" s="7">
        <v>338</v>
      </c>
      <c r="H288" s="7">
        <v>70</v>
      </c>
      <c r="I288" s="7">
        <v>30515</v>
      </c>
      <c r="J288" s="28">
        <f>(Posts[[#This Row],[Likes]]+Posts[[#This Row],[Shares]]+Posts[[#This Row],[Comments]])/Posts[[#This Row],[Impressions]]</f>
        <v>8.4548582664263475E-2</v>
      </c>
      <c r="K288" s="7">
        <v>57853</v>
      </c>
      <c r="L288" s="7">
        <v>156</v>
      </c>
      <c r="M288" s="6" t="s">
        <v>26</v>
      </c>
      <c r="N288" s="6" t="s">
        <v>13</v>
      </c>
      <c r="O288" s="6" t="s">
        <v>23</v>
      </c>
      <c r="P288" s="8">
        <f>SUM(Posts[[#This Row],[Likes]:[Comments]])</f>
        <v>2580</v>
      </c>
    </row>
    <row r="289" spans="1:16" x14ac:dyDescent="0.25">
      <c r="A289" s="6" t="s">
        <v>347</v>
      </c>
      <c r="B289" s="6" t="s">
        <v>17</v>
      </c>
      <c r="C289" s="9">
        <v>45513</v>
      </c>
      <c r="D289" s="6" t="s">
        <v>53</v>
      </c>
      <c r="E289" s="6" t="s">
        <v>71</v>
      </c>
      <c r="F289" s="7">
        <v>4877</v>
      </c>
      <c r="G289" s="7">
        <v>442</v>
      </c>
      <c r="H289" s="7">
        <v>236</v>
      </c>
      <c r="I289" s="7">
        <v>52673</v>
      </c>
      <c r="J289" s="28">
        <f>(Posts[[#This Row],[Likes]]+Posts[[#This Row],[Shares]]+Posts[[#This Row],[Comments]])/Posts[[#This Row],[Impressions]]</f>
        <v>0.10546200140489435</v>
      </c>
      <c r="K289" s="7">
        <v>48241</v>
      </c>
      <c r="L289" s="7">
        <v>114</v>
      </c>
      <c r="M289" s="6" t="s">
        <v>26</v>
      </c>
      <c r="N289" s="6" t="s">
        <v>14</v>
      </c>
      <c r="O289" s="6" t="s">
        <v>19</v>
      </c>
      <c r="P289" s="8">
        <f>SUM(Posts[[#This Row],[Likes]:[Comments]])</f>
        <v>5555</v>
      </c>
    </row>
    <row r="290" spans="1:16" x14ac:dyDescent="0.25">
      <c r="A290" s="6" t="s">
        <v>348</v>
      </c>
      <c r="B290" s="6" t="s">
        <v>11</v>
      </c>
      <c r="C290" s="9">
        <v>45678</v>
      </c>
      <c r="D290" s="6" t="s">
        <v>53</v>
      </c>
      <c r="E290" s="6" t="s">
        <v>54</v>
      </c>
      <c r="F290" s="7">
        <v>4918</v>
      </c>
      <c r="G290" s="7">
        <v>440</v>
      </c>
      <c r="H290" s="7">
        <v>149</v>
      </c>
      <c r="I290" s="7">
        <v>53269</v>
      </c>
      <c r="J290" s="28">
        <f>(Posts[[#This Row],[Likes]]+Posts[[#This Row],[Shares]]+Posts[[#This Row],[Comments]])/Posts[[#This Row],[Impressions]]</f>
        <v>0.10338095327488783</v>
      </c>
      <c r="K290" s="7">
        <v>64370</v>
      </c>
      <c r="L290" s="7">
        <v>269</v>
      </c>
      <c r="M290" s="6" t="s">
        <v>18</v>
      </c>
      <c r="N290" s="6"/>
      <c r="O290" s="6" t="s">
        <v>15</v>
      </c>
      <c r="P290" s="8">
        <f>SUM(Posts[[#This Row],[Likes]:[Comments]])</f>
        <v>5507</v>
      </c>
    </row>
    <row r="291" spans="1:16" x14ac:dyDescent="0.25">
      <c r="A291" s="6" t="s">
        <v>349</v>
      </c>
      <c r="B291" s="6" t="s">
        <v>17</v>
      </c>
      <c r="C291" s="9">
        <v>45517</v>
      </c>
      <c r="D291" s="6" t="s">
        <v>48</v>
      </c>
      <c r="E291" s="6" t="s">
        <v>51</v>
      </c>
      <c r="F291" s="7">
        <v>3418</v>
      </c>
      <c r="G291" s="7">
        <v>107</v>
      </c>
      <c r="H291" s="7">
        <v>221</v>
      </c>
      <c r="I291" s="7">
        <v>23927</v>
      </c>
      <c r="J291" s="28">
        <f>(Posts[[#This Row],[Likes]]+Posts[[#This Row],[Shares]]+Posts[[#This Row],[Comments]])/Posts[[#This Row],[Impressions]]</f>
        <v>0.1565595352530614</v>
      </c>
      <c r="K291" s="7">
        <v>26182</v>
      </c>
      <c r="L291" s="7">
        <v>155</v>
      </c>
      <c r="M291" s="6" t="s">
        <v>22</v>
      </c>
      <c r="N291" s="6"/>
      <c r="O291" s="6" t="s">
        <v>23</v>
      </c>
      <c r="P291" s="8">
        <f>SUM(Posts[[#This Row],[Likes]:[Comments]])</f>
        <v>3746</v>
      </c>
    </row>
    <row r="292" spans="1:16" x14ac:dyDescent="0.25">
      <c r="A292" s="6" t="s">
        <v>350</v>
      </c>
      <c r="B292" s="6" t="s">
        <v>11</v>
      </c>
      <c r="C292" s="9">
        <v>45472</v>
      </c>
      <c r="D292" s="6" t="s">
        <v>48</v>
      </c>
      <c r="E292" s="6" t="s">
        <v>73</v>
      </c>
      <c r="F292" s="7">
        <v>2088</v>
      </c>
      <c r="G292" s="7">
        <v>490</v>
      </c>
      <c r="H292" s="7">
        <v>124</v>
      </c>
      <c r="I292" s="7">
        <v>46544</v>
      </c>
      <c r="J292" s="28">
        <f>(Posts[[#This Row],[Likes]]+Posts[[#This Row],[Shares]]+Posts[[#This Row],[Comments]])/Posts[[#This Row],[Impressions]]</f>
        <v>5.8052595393606049E-2</v>
      </c>
      <c r="K292" s="7">
        <v>69346</v>
      </c>
      <c r="L292" s="7">
        <v>178</v>
      </c>
      <c r="M292" s="6" t="s">
        <v>22</v>
      </c>
      <c r="N292" s="6" t="s">
        <v>18</v>
      </c>
      <c r="O292" s="6" t="s">
        <v>19</v>
      </c>
      <c r="P292" s="8">
        <f>SUM(Posts[[#This Row],[Likes]:[Comments]])</f>
        <v>2702</v>
      </c>
    </row>
    <row r="293" spans="1:16" x14ac:dyDescent="0.25">
      <c r="A293" s="6" t="s">
        <v>351</v>
      </c>
      <c r="B293" s="6" t="s">
        <v>17</v>
      </c>
      <c r="C293" s="9">
        <v>45599</v>
      </c>
      <c r="D293" s="6" t="s">
        <v>53</v>
      </c>
      <c r="E293" s="6" t="s">
        <v>51</v>
      </c>
      <c r="F293" s="7">
        <v>3061</v>
      </c>
      <c r="G293" s="7">
        <v>320</v>
      </c>
      <c r="H293" s="7">
        <v>76</v>
      </c>
      <c r="I293" s="7">
        <v>26640</v>
      </c>
      <c r="J293" s="28">
        <f>(Posts[[#This Row],[Likes]]+Posts[[#This Row],[Shares]]+Posts[[#This Row],[Comments]])/Posts[[#This Row],[Impressions]]</f>
        <v>0.12976726726726726</v>
      </c>
      <c r="K293" s="7">
        <v>24306</v>
      </c>
      <c r="L293" s="7">
        <v>112</v>
      </c>
      <c r="M293" s="6" t="s">
        <v>14</v>
      </c>
      <c r="N293" s="6" t="s">
        <v>18</v>
      </c>
      <c r="O293" s="6" t="s">
        <v>19</v>
      </c>
      <c r="P293" s="8">
        <f>SUM(Posts[[#This Row],[Likes]:[Comments]])</f>
        <v>3457</v>
      </c>
    </row>
    <row r="294" spans="1:16" x14ac:dyDescent="0.25">
      <c r="A294" s="6" t="s">
        <v>352</v>
      </c>
      <c r="B294" s="6" t="s">
        <v>12</v>
      </c>
      <c r="C294" s="9">
        <v>45765</v>
      </c>
      <c r="D294" s="6" t="s">
        <v>78</v>
      </c>
      <c r="E294" s="6" t="s">
        <v>73</v>
      </c>
      <c r="F294" s="7">
        <v>1265</v>
      </c>
      <c r="G294" s="7">
        <v>230</v>
      </c>
      <c r="H294" s="7">
        <v>364</v>
      </c>
      <c r="I294" s="7">
        <v>41312</v>
      </c>
      <c r="J294" s="28">
        <f>(Posts[[#This Row],[Likes]]+Posts[[#This Row],[Shares]]+Posts[[#This Row],[Comments]])/Posts[[#This Row],[Impressions]]</f>
        <v>4.4999031758326875E-2</v>
      </c>
      <c r="K294" s="7">
        <v>50382</v>
      </c>
      <c r="L294" s="7">
        <v>106</v>
      </c>
      <c r="M294" s="6" t="s">
        <v>26</v>
      </c>
      <c r="N294" s="6" t="s">
        <v>22</v>
      </c>
      <c r="O294" s="6" t="s">
        <v>9</v>
      </c>
      <c r="P294" s="8">
        <f>SUM(Posts[[#This Row],[Likes]:[Comments]])</f>
        <v>1859</v>
      </c>
    </row>
    <row r="295" spans="1:16" x14ac:dyDescent="0.25">
      <c r="A295" s="6" t="s">
        <v>353</v>
      </c>
      <c r="B295" s="6" t="s">
        <v>11</v>
      </c>
      <c r="C295" s="9">
        <v>45653</v>
      </c>
      <c r="D295" s="6" t="s">
        <v>48</v>
      </c>
      <c r="E295" s="6" t="s">
        <v>71</v>
      </c>
      <c r="F295" s="7">
        <v>1436</v>
      </c>
      <c r="G295" s="7">
        <v>219</v>
      </c>
      <c r="H295" s="7">
        <v>229</v>
      </c>
      <c r="I295" s="7">
        <v>58488</v>
      </c>
      <c r="J295" s="28">
        <f>(Posts[[#This Row],[Likes]]+Posts[[#This Row],[Shares]]+Posts[[#This Row],[Comments]])/Posts[[#This Row],[Impressions]]</f>
        <v>3.221173574066475E-2</v>
      </c>
      <c r="K295" s="7">
        <v>24314</v>
      </c>
      <c r="L295" s="7">
        <v>147</v>
      </c>
      <c r="M295" s="6" t="s">
        <v>26</v>
      </c>
      <c r="N295" s="6"/>
      <c r="O295" s="6" t="s">
        <v>23</v>
      </c>
      <c r="P295" s="8">
        <f>SUM(Posts[[#This Row],[Likes]:[Comments]])</f>
        <v>1884</v>
      </c>
    </row>
    <row r="296" spans="1:16" x14ac:dyDescent="0.25">
      <c r="A296" s="6" t="s">
        <v>354</v>
      </c>
      <c r="B296" s="6" t="s">
        <v>11</v>
      </c>
      <c r="C296" s="9">
        <v>45724</v>
      </c>
      <c r="D296" s="6" t="s">
        <v>53</v>
      </c>
      <c r="E296" s="6" t="s">
        <v>65</v>
      </c>
      <c r="F296" s="7">
        <v>2244</v>
      </c>
      <c r="G296" s="7">
        <v>392</v>
      </c>
      <c r="H296" s="7">
        <v>231</v>
      </c>
      <c r="I296" s="7">
        <v>25834</v>
      </c>
      <c r="J296" s="28">
        <f>(Posts[[#This Row],[Likes]]+Posts[[#This Row],[Shares]]+Posts[[#This Row],[Comments]])/Posts[[#This Row],[Impressions]]</f>
        <v>0.1109777812185492</v>
      </c>
      <c r="K296" s="7">
        <v>50906</v>
      </c>
      <c r="L296" s="7">
        <v>165</v>
      </c>
      <c r="M296" s="6" t="s">
        <v>18</v>
      </c>
      <c r="N296" s="6"/>
      <c r="O296" s="6" t="s">
        <v>15</v>
      </c>
      <c r="P296" s="8">
        <f>SUM(Posts[[#This Row],[Likes]:[Comments]])</f>
        <v>2867</v>
      </c>
    </row>
    <row r="297" spans="1:16" x14ac:dyDescent="0.25">
      <c r="A297" s="6" t="s">
        <v>355</v>
      </c>
      <c r="B297" s="6" t="s">
        <v>17</v>
      </c>
      <c r="C297" s="9">
        <v>45736</v>
      </c>
      <c r="D297" s="6" t="s">
        <v>53</v>
      </c>
      <c r="E297" s="6" t="s">
        <v>73</v>
      </c>
      <c r="F297" s="7">
        <v>3393</v>
      </c>
      <c r="G297" s="7">
        <v>104</v>
      </c>
      <c r="H297" s="7">
        <v>79</v>
      </c>
      <c r="I297" s="7">
        <v>30025</v>
      </c>
      <c r="J297" s="28">
        <f>(Posts[[#This Row],[Likes]]+Posts[[#This Row],[Shares]]+Posts[[#This Row],[Comments]])/Posts[[#This Row],[Impressions]]</f>
        <v>0.1191007493755204</v>
      </c>
      <c r="K297" s="7">
        <v>21593</v>
      </c>
      <c r="L297" s="7">
        <v>165</v>
      </c>
      <c r="M297" s="6" t="s">
        <v>14</v>
      </c>
      <c r="N297" s="6" t="s">
        <v>18</v>
      </c>
      <c r="O297" s="6" t="s">
        <v>19</v>
      </c>
      <c r="P297" s="8">
        <f>SUM(Posts[[#This Row],[Likes]:[Comments]])</f>
        <v>3576</v>
      </c>
    </row>
    <row r="298" spans="1:16" x14ac:dyDescent="0.25">
      <c r="A298" s="6" t="s">
        <v>356</v>
      </c>
      <c r="B298" s="6" t="s">
        <v>17</v>
      </c>
      <c r="C298" s="9">
        <v>45612</v>
      </c>
      <c r="D298" s="6" t="s">
        <v>48</v>
      </c>
      <c r="E298" s="6" t="s">
        <v>51</v>
      </c>
      <c r="F298" s="7">
        <v>2901</v>
      </c>
      <c r="G298" s="7">
        <v>108</v>
      </c>
      <c r="H298" s="7">
        <v>86</v>
      </c>
      <c r="I298" s="7">
        <v>51777</v>
      </c>
      <c r="J298" s="28">
        <f>(Posts[[#This Row],[Likes]]+Posts[[#This Row],[Shares]]+Posts[[#This Row],[Comments]])/Posts[[#This Row],[Impressions]]</f>
        <v>5.9775576027966085E-2</v>
      </c>
      <c r="K298" s="7">
        <v>23773</v>
      </c>
      <c r="L298" s="7">
        <v>160</v>
      </c>
      <c r="M298" s="6" t="s">
        <v>22</v>
      </c>
      <c r="N298" s="6"/>
      <c r="O298" s="6" t="s">
        <v>23</v>
      </c>
      <c r="P298" s="8">
        <f>SUM(Posts[[#This Row],[Likes]:[Comments]])</f>
        <v>3095</v>
      </c>
    </row>
    <row r="299" spans="1:16" x14ac:dyDescent="0.25">
      <c r="A299" s="6" t="s">
        <v>357</v>
      </c>
      <c r="B299" s="6" t="s">
        <v>17</v>
      </c>
      <c r="C299" s="9">
        <v>45838</v>
      </c>
      <c r="D299" s="6" t="s">
        <v>48</v>
      </c>
      <c r="E299" s="6" t="s">
        <v>60</v>
      </c>
      <c r="F299" s="7">
        <v>2275</v>
      </c>
      <c r="G299" s="7">
        <v>285</v>
      </c>
      <c r="H299" s="7">
        <v>125</v>
      </c>
      <c r="I299" s="7">
        <v>43970</v>
      </c>
      <c r="J299" s="28">
        <f>(Posts[[#This Row],[Likes]]+Posts[[#This Row],[Shares]]+Posts[[#This Row],[Comments]])/Posts[[#This Row],[Impressions]]</f>
        <v>6.1064362065044349E-2</v>
      </c>
      <c r="K299" s="7">
        <v>74761</v>
      </c>
      <c r="L299" s="7">
        <v>83</v>
      </c>
      <c r="M299" s="6" t="s">
        <v>18</v>
      </c>
      <c r="N299" s="6"/>
      <c r="O299" s="6" t="s">
        <v>19</v>
      </c>
      <c r="P299" s="8">
        <f>SUM(Posts[[#This Row],[Likes]:[Comments]])</f>
        <v>2685</v>
      </c>
    </row>
    <row r="300" spans="1:16" x14ac:dyDescent="0.25">
      <c r="A300" s="6" t="s">
        <v>358</v>
      </c>
      <c r="B300" s="6" t="s">
        <v>17</v>
      </c>
      <c r="C300" s="9">
        <v>45303</v>
      </c>
      <c r="D300" s="6" t="s">
        <v>53</v>
      </c>
      <c r="E300" s="6" t="s">
        <v>56</v>
      </c>
      <c r="F300" s="7">
        <v>2227</v>
      </c>
      <c r="G300" s="7">
        <v>494</v>
      </c>
      <c r="H300" s="7">
        <v>161</v>
      </c>
      <c r="I300" s="7">
        <v>51651</v>
      </c>
      <c r="J300" s="28">
        <f>(Posts[[#This Row],[Likes]]+Posts[[#This Row],[Shares]]+Posts[[#This Row],[Comments]])/Posts[[#This Row],[Impressions]]</f>
        <v>5.5797564422760453E-2</v>
      </c>
      <c r="K300" s="7">
        <v>68074</v>
      </c>
      <c r="L300" s="7">
        <v>240</v>
      </c>
      <c r="M300" s="6" t="s">
        <v>26</v>
      </c>
      <c r="N300" s="6" t="s">
        <v>14</v>
      </c>
      <c r="O300" s="6" t="s">
        <v>19</v>
      </c>
      <c r="P300" s="8">
        <f>SUM(Posts[[#This Row],[Likes]:[Comments]])</f>
        <v>2882</v>
      </c>
    </row>
    <row r="301" spans="1:16" x14ac:dyDescent="0.25">
      <c r="A301" s="6" t="s">
        <v>359</v>
      </c>
      <c r="B301" s="6" t="s">
        <v>11</v>
      </c>
      <c r="C301" s="9">
        <v>45329</v>
      </c>
      <c r="D301" s="6" t="s">
        <v>48</v>
      </c>
      <c r="E301" s="6" t="s">
        <v>58</v>
      </c>
      <c r="F301" s="7">
        <v>1883</v>
      </c>
      <c r="G301" s="7">
        <v>432</v>
      </c>
      <c r="H301" s="7">
        <v>397</v>
      </c>
      <c r="I301" s="7">
        <v>28759</v>
      </c>
      <c r="J301" s="28">
        <f>(Posts[[#This Row],[Likes]]+Posts[[#This Row],[Shares]]+Posts[[#This Row],[Comments]])/Posts[[#This Row],[Impressions]]</f>
        <v>9.4300914496331587E-2</v>
      </c>
      <c r="K301" s="7">
        <v>18691</v>
      </c>
      <c r="L301" s="7">
        <v>270</v>
      </c>
      <c r="M301" s="6" t="s">
        <v>22</v>
      </c>
      <c r="N301" s="6" t="s">
        <v>18</v>
      </c>
      <c r="O301" s="6" t="s">
        <v>19</v>
      </c>
      <c r="P301" s="8">
        <f>SUM(Posts[[#This Row],[Likes]:[Comments]])</f>
        <v>2712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F29C-537F-4ED9-9313-F49623FF9F08}">
  <sheetPr>
    <tabColor rgb="FFCCFFCC"/>
  </sheetPr>
  <dimension ref="A1:I202"/>
  <sheetViews>
    <sheetView workbookViewId="0">
      <selection activeCell="F2" sqref="F2"/>
    </sheetView>
  </sheetViews>
  <sheetFormatPr defaultRowHeight="15" x14ac:dyDescent="0.25"/>
  <cols>
    <col min="1" max="1" width="19" style="2" bestFit="1" customWidth="1"/>
    <col min="2" max="2" width="11" style="1" bestFit="1" customWidth="1"/>
    <col min="3" max="3" width="17.28515625" style="7" bestFit="1" customWidth="1"/>
    <col min="4" max="4" width="12.42578125" style="7" bestFit="1" customWidth="1"/>
    <col min="5" max="5" width="17.5703125" style="7" bestFit="1" customWidth="1"/>
    <col min="6" max="6" width="17.5703125" style="7" customWidth="1"/>
    <col min="7" max="7" width="17.5703125" style="10" customWidth="1"/>
    <col min="8" max="8" width="19.5703125" style="7" bestFit="1" customWidth="1"/>
    <col min="9" max="9" width="12.28515625" style="7" bestFit="1" customWidth="1"/>
    <col min="10" max="10" width="12.28515625" style="2" customWidth="1"/>
    <col min="11" max="16384" width="9.140625" style="2"/>
  </cols>
  <sheetData>
    <row r="1" spans="1:9" x14ac:dyDescent="0.25">
      <c r="A1" s="2" t="s">
        <v>28</v>
      </c>
      <c r="B1" s="1" t="s">
        <v>29</v>
      </c>
      <c r="C1" s="7" t="s">
        <v>30</v>
      </c>
      <c r="D1" s="7" t="s">
        <v>31</v>
      </c>
      <c r="E1" s="7" t="s">
        <v>32</v>
      </c>
      <c r="F1" s="7" t="s">
        <v>379</v>
      </c>
      <c r="G1" s="10" t="s">
        <v>365</v>
      </c>
      <c r="H1" s="7" t="s">
        <v>33</v>
      </c>
      <c r="I1" s="7" t="s">
        <v>34</v>
      </c>
    </row>
    <row r="2" spans="1:9" x14ac:dyDescent="0.25">
      <c r="A2" s="3">
        <v>45446</v>
      </c>
      <c r="B2" s="6" t="s">
        <v>11</v>
      </c>
      <c r="C2" s="7">
        <v>1402</v>
      </c>
      <c r="D2" s="7">
        <v>68</v>
      </c>
      <c r="E2" s="7">
        <v>124562</v>
      </c>
      <c r="F2" s="7">
        <f>Engagement_Summary[[#This Row],[New_Followers]]-Engagement_Summary[[#This Row],[Unfollows]]</f>
        <v>1334</v>
      </c>
      <c r="G2" s="10">
        <f>(Engagement_Summary[[#This Row],[New_Followers]]-Engagement_Summary[[#This Row],[Unfollows]])/Engagement_Summary[[#This Row],[Total_Followers]]</f>
        <v>1.0709526179733787E-2</v>
      </c>
      <c r="H2" s="7">
        <v>9.92</v>
      </c>
      <c r="I2" s="7">
        <v>23125</v>
      </c>
    </row>
    <row r="3" spans="1:9" x14ac:dyDescent="0.25">
      <c r="A3" s="3">
        <v>45446</v>
      </c>
      <c r="B3" s="6" t="s">
        <v>17</v>
      </c>
      <c r="C3" s="7">
        <v>995</v>
      </c>
      <c r="D3" s="7">
        <v>86</v>
      </c>
      <c r="E3" s="7">
        <v>227958</v>
      </c>
      <c r="F3" s="7">
        <f>Engagement_Summary[[#This Row],[New_Followers]]-Engagement_Summary[[#This Row],[Unfollows]]</f>
        <v>909</v>
      </c>
      <c r="G3" s="10">
        <f>(Engagement_Summary[[#This Row],[New_Followers]]-Engagement_Summary[[#This Row],[Unfollows]])/Engagement_Summary[[#This Row],[Total_Followers]]</f>
        <v>3.9875766588582107E-3</v>
      </c>
      <c r="H3" s="7">
        <v>8.0500000000000007</v>
      </c>
      <c r="I3" s="7">
        <v>22788</v>
      </c>
    </row>
    <row r="4" spans="1:9" x14ac:dyDescent="0.25">
      <c r="A4" s="3">
        <v>45446</v>
      </c>
      <c r="B4" s="6" t="s">
        <v>12</v>
      </c>
      <c r="C4" s="7">
        <v>1472</v>
      </c>
      <c r="D4" s="7">
        <v>296</v>
      </c>
      <c r="E4" s="7">
        <v>370242</v>
      </c>
      <c r="F4" s="7">
        <f>Engagement_Summary[[#This Row],[New_Followers]]-Engagement_Summary[[#This Row],[Unfollows]]</f>
        <v>1176</v>
      </c>
      <c r="G4" s="10">
        <f>(Engagement_Summary[[#This Row],[New_Followers]]-Engagement_Summary[[#This Row],[Unfollows]])/Engagement_Summary[[#This Row],[Total_Followers]]</f>
        <v>3.176300905893983E-3</v>
      </c>
      <c r="H4" s="7">
        <v>7.72</v>
      </c>
      <c r="I4" s="7">
        <v>7810</v>
      </c>
    </row>
    <row r="5" spans="1:9" x14ac:dyDescent="0.25">
      <c r="A5" s="3">
        <v>45453</v>
      </c>
      <c r="B5" s="6" t="s">
        <v>11</v>
      </c>
      <c r="C5" s="7">
        <v>1018</v>
      </c>
      <c r="D5" s="7">
        <v>90</v>
      </c>
      <c r="E5" s="7">
        <v>92474</v>
      </c>
      <c r="F5" s="7">
        <f>Engagement_Summary[[#This Row],[New_Followers]]-Engagement_Summary[[#This Row],[Unfollows]]</f>
        <v>928</v>
      </c>
      <c r="G5" s="10">
        <f>(Engagement_Summary[[#This Row],[New_Followers]]-Engagement_Summary[[#This Row],[Unfollows]])/Engagement_Summary[[#This Row],[Total_Followers]]</f>
        <v>1.0035253152237385E-2</v>
      </c>
      <c r="H5" s="7">
        <v>9.4</v>
      </c>
      <c r="I5" s="7">
        <v>11966</v>
      </c>
    </row>
    <row r="6" spans="1:9" x14ac:dyDescent="0.25">
      <c r="A6" s="3">
        <v>45453</v>
      </c>
      <c r="B6" s="6" t="s">
        <v>17</v>
      </c>
      <c r="C6" s="7">
        <v>1461</v>
      </c>
      <c r="D6" s="7">
        <v>64</v>
      </c>
      <c r="E6" s="7">
        <v>328902</v>
      </c>
      <c r="F6" s="7">
        <f>Engagement_Summary[[#This Row],[New_Followers]]-Engagement_Summary[[#This Row],[Unfollows]]</f>
        <v>1397</v>
      </c>
      <c r="G6" s="10">
        <f>(Engagement_Summary[[#This Row],[New_Followers]]-Engagement_Summary[[#This Row],[Unfollows]])/Engagement_Summary[[#This Row],[Total_Followers]]</f>
        <v>4.247465810484582E-3</v>
      </c>
      <c r="H6" s="7">
        <v>9.02</v>
      </c>
      <c r="I6" s="7">
        <v>26298</v>
      </c>
    </row>
    <row r="7" spans="1:9" x14ac:dyDescent="0.25">
      <c r="A7" s="3">
        <v>45453</v>
      </c>
      <c r="B7" s="6" t="s">
        <v>12</v>
      </c>
      <c r="C7" s="7">
        <v>545</v>
      </c>
      <c r="D7" s="7">
        <v>93</v>
      </c>
      <c r="E7" s="7">
        <v>391621</v>
      </c>
      <c r="F7" s="7">
        <f>Engagement_Summary[[#This Row],[New_Followers]]-Engagement_Summary[[#This Row],[Unfollows]]</f>
        <v>452</v>
      </c>
      <c r="G7" s="10">
        <f>(Engagement_Summary[[#This Row],[New_Followers]]-Engagement_Summary[[#This Row],[Unfollows]])/Engagement_Summary[[#This Row],[Total_Followers]]</f>
        <v>1.1541771253329111E-3</v>
      </c>
      <c r="H7" s="7">
        <v>9.9600000000000009</v>
      </c>
      <c r="I7" s="7">
        <v>22029</v>
      </c>
    </row>
    <row r="8" spans="1:9" x14ac:dyDescent="0.25">
      <c r="A8" s="3">
        <v>45460</v>
      </c>
      <c r="B8" s="6" t="s">
        <v>11</v>
      </c>
      <c r="C8" s="7">
        <v>881</v>
      </c>
      <c r="D8" s="7">
        <v>291</v>
      </c>
      <c r="E8" s="7">
        <v>95885</v>
      </c>
      <c r="F8" s="7">
        <f>Engagement_Summary[[#This Row],[New_Followers]]-Engagement_Summary[[#This Row],[Unfollows]]</f>
        <v>590</v>
      </c>
      <c r="G8" s="10">
        <f>(Engagement_Summary[[#This Row],[New_Followers]]-Engagement_Summary[[#This Row],[Unfollows]])/Engagement_Summary[[#This Row],[Total_Followers]]</f>
        <v>6.1532043593888509E-3</v>
      </c>
      <c r="H8" s="7">
        <v>5.29</v>
      </c>
      <c r="I8" s="7">
        <v>12391</v>
      </c>
    </row>
    <row r="9" spans="1:9" x14ac:dyDescent="0.25">
      <c r="A9" s="3">
        <v>45460</v>
      </c>
      <c r="B9" s="6" t="s">
        <v>17</v>
      </c>
      <c r="C9" s="7">
        <v>1414</v>
      </c>
      <c r="D9" s="7">
        <v>131</v>
      </c>
      <c r="E9" s="7">
        <v>245947</v>
      </c>
      <c r="F9" s="7">
        <f>Engagement_Summary[[#This Row],[New_Followers]]-Engagement_Summary[[#This Row],[Unfollows]]</f>
        <v>1283</v>
      </c>
      <c r="G9" s="10">
        <f>(Engagement_Summary[[#This Row],[New_Followers]]-Engagement_Summary[[#This Row],[Unfollows]])/Engagement_Summary[[#This Row],[Total_Followers]]</f>
        <v>5.2165710498603361E-3</v>
      </c>
      <c r="H9" s="7">
        <v>8.3000000000000007</v>
      </c>
      <c r="I9" s="7">
        <v>14477</v>
      </c>
    </row>
    <row r="10" spans="1:9" x14ac:dyDescent="0.25">
      <c r="A10" s="3">
        <v>45460</v>
      </c>
      <c r="B10" s="6" t="s">
        <v>12</v>
      </c>
      <c r="C10" s="7">
        <v>1472</v>
      </c>
      <c r="D10" s="7">
        <v>170</v>
      </c>
      <c r="E10" s="7">
        <v>250428</v>
      </c>
      <c r="F10" s="7">
        <f>Engagement_Summary[[#This Row],[New_Followers]]-Engagement_Summary[[#This Row],[Unfollows]]</f>
        <v>1302</v>
      </c>
      <c r="G10" s="10">
        <f>(Engagement_Summary[[#This Row],[New_Followers]]-Engagement_Summary[[#This Row],[Unfollows]])/Engagement_Summary[[#This Row],[Total_Followers]]</f>
        <v>5.1990991422684362E-3</v>
      </c>
      <c r="H10" s="7">
        <v>4.66</v>
      </c>
      <c r="I10" s="7">
        <v>25040</v>
      </c>
    </row>
    <row r="11" spans="1:9" x14ac:dyDescent="0.25">
      <c r="A11" s="3">
        <v>45467</v>
      </c>
      <c r="B11" s="6" t="s">
        <v>11</v>
      </c>
      <c r="C11" s="7">
        <v>809</v>
      </c>
      <c r="D11" s="7">
        <v>197</v>
      </c>
      <c r="E11" s="7">
        <v>87186</v>
      </c>
      <c r="F11" s="7">
        <f>Engagement_Summary[[#This Row],[New_Followers]]-Engagement_Summary[[#This Row],[Unfollows]]</f>
        <v>612</v>
      </c>
      <c r="G11" s="10">
        <f>(Engagement_Summary[[#This Row],[New_Followers]]-Engagement_Summary[[#This Row],[Unfollows]])/Engagement_Summary[[#This Row],[Total_Followers]]</f>
        <v>7.0194756038813571E-3</v>
      </c>
      <c r="H11" s="7">
        <v>9.48</v>
      </c>
      <c r="I11" s="7">
        <v>22619</v>
      </c>
    </row>
    <row r="12" spans="1:9" x14ac:dyDescent="0.25">
      <c r="A12" s="3">
        <v>45467</v>
      </c>
      <c r="B12" s="6" t="s">
        <v>17</v>
      </c>
      <c r="C12" s="7">
        <v>1371</v>
      </c>
      <c r="D12" s="7">
        <v>250</v>
      </c>
      <c r="E12" s="7">
        <v>128620</v>
      </c>
      <c r="F12" s="7">
        <f>Engagement_Summary[[#This Row],[New_Followers]]-Engagement_Summary[[#This Row],[Unfollows]]</f>
        <v>1121</v>
      </c>
      <c r="G12" s="10">
        <f>(Engagement_Summary[[#This Row],[New_Followers]]-Engagement_Summary[[#This Row],[Unfollows]])/Engagement_Summary[[#This Row],[Total_Followers]]</f>
        <v>8.7155963302752298E-3</v>
      </c>
      <c r="H12" s="7">
        <v>7.11</v>
      </c>
      <c r="I12" s="7">
        <v>12399</v>
      </c>
    </row>
    <row r="13" spans="1:9" x14ac:dyDescent="0.25">
      <c r="A13" s="3">
        <v>45467</v>
      </c>
      <c r="B13" s="6" t="s">
        <v>12</v>
      </c>
      <c r="C13" s="7">
        <v>844</v>
      </c>
      <c r="D13" s="7">
        <v>144</v>
      </c>
      <c r="E13" s="7">
        <v>126015</v>
      </c>
      <c r="F13" s="7">
        <f>Engagement_Summary[[#This Row],[New_Followers]]-Engagement_Summary[[#This Row],[Unfollows]]</f>
        <v>700</v>
      </c>
      <c r="G13" s="10">
        <f>(Engagement_Summary[[#This Row],[New_Followers]]-Engagement_Summary[[#This Row],[Unfollows]])/Engagement_Summary[[#This Row],[Total_Followers]]</f>
        <v>5.5548942586200059E-3</v>
      </c>
      <c r="H13" s="7">
        <v>9.65</v>
      </c>
      <c r="I13" s="7">
        <v>22456</v>
      </c>
    </row>
    <row r="14" spans="1:9" x14ac:dyDescent="0.25">
      <c r="A14" s="3">
        <v>45474</v>
      </c>
      <c r="B14" s="6" t="s">
        <v>11</v>
      </c>
      <c r="C14" s="7">
        <v>786</v>
      </c>
      <c r="D14" s="7">
        <v>72</v>
      </c>
      <c r="E14" s="7">
        <v>178615</v>
      </c>
      <c r="F14" s="7">
        <f>Engagement_Summary[[#This Row],[New_Followers]]-Engagement_Summary[[#This Row],[Unfollows]]</f>
        <v>714</v>
      </c>
      <c r="G14" s="10">
        <f>(Engagement_Summary[[#This Row],[New_Followers]]-Engagement_Summary[[#This Row],[Unfollows]])/Engagement_Summary[[#This Row],[Total_Followers]]</f>
        <v>3.9974246283906723E-3</v>
      </c>
      <c r="H14" s="7">
        <v>5.43</v>
      </c>
      <c r="I14" s="7">
        <v>19328</v>
      </c>
    </row>
    <row r="15" spans="1:9" x14ac:dyDescent="0.25">
      <c r="A15" s="3">
        <v>45474</v>
      </c>
      <c r="B15" s="6" t="s">
        <v>17</v>
      </c>
      <c r="C15" s="7">
        <v>845</v>
      </c>
      <c r="D15" s="7">
        <v>250</v>
      </c>
      <c r="E15" s="7">
        <v>218228</v>
      </c>
      <c r="F15" s="7">
        <f>Engagement_Summary[[#This Row],[New_Followers]]-Engagement_Summary[[#This Row],[Unfollows]]</f>
        <v>595</v>
      </c>
      <c r="G15" s="10">
        <f>(Engagement_Summary[[#This Row],[New_Followers]]-Engagement_Summary[[#This Row],[Unfollows]])/Engagement_Summary[[#This Row],[Total_Followers]]</f>
        <v>2.7265062228494967E-3</v>
      </c>
      <c r="H15" s="7">
        <v>4.5199999999999996</v>
      </c>
      <c r="I15" s="7">
        <v>21107</v>
      </c>
    </row>
    <row r="16" spans="1:9" x14ac:dyDescent="0.25">
      <c r="A16" s="3">
        <v>45474</v>
      </c>
      <c r="B16" s="6" t="s">
        <v>12</v>
      </c>
      <c r="C16" s="7">
        <v>1218</v>
      </c>
      <c r="D16" s="7">
        <v>101</v>
      </c>
      <c r="E16" s="7">
        <v>300397</v>
      </c>
      <c r="F16" s="7">
        <f>Engagement_Summary[[#This Row],[New_Followers]]-Engagement_Summary[[#This Row],[Unfollows]]</f>
        <v>1117</v>
      </c>
      <c r="G16" s="10">
        <f>(Engagement_Summary[[#This Row],[New_Followers]]-Engagement_Summary[[#This Row],[Unfollows]])/Engagement_Summary[[#This Row],[Total_Followers]]</f>
        <v>3.7184126339477423E-3</v>
      </c>
      <c r="H16" s="7">
        <v>4.33</v>
      </c>
      <c r="I16" s="7">
        <v>12277</v>
      </c>
    </row>
    <row r="17" spans="1:9" x14ac:dyDescent="0.25">
      <c r="A17" s="3">
        <v>45481</v>
      </c>
      <c r="B17" s="6" t="s">
        <v>11</v>
      </c>
      <c r="C17" s="7">
        <v>797</v>
      </c>
      <c r="D17" s="7">
        <v>130</v>
      </c>
      <c r="E17" s="7">
        <v>340121</v>
      </c>
      <c r="F17" s="7">
        <f>Engagement_Summary[[#This Row],[New_Followers]]-Engagement_Summary[[#This Row],[Unfollows]]</f>
        <v>667</v>
      </c>
      <c r="G17" s="10">
        <f>(Engagement_Summary[[#This Row],[New_Followers]]-Engagement_Summary[[#This Row],[Unfollows]])/Engagement_Summary[[#This Row],[Total_Followers]]</f>
        <v>1.9610667968164271E-3</v>
      </c>
      <c r="H17" s="7">
        <v>8.52</v>
      </c>
      <c r="I17" s="7">
        <v>11684</v>
      </c>
    </row>
    <row r="18" spans="1:9" x14ac:dyDescent="0.25">
      <c r="A18" s="3">
        <v>45481</v>
      </c>
      <c r="B18" s="6" t="s">
        <v>17</v>
      </c>
      <c r="C18" s="7">
        <v>1471</v>
      </c>
      <c r="D18" s="7">
        <v>100</v>
      </c>
      <c r="E18" s="7">
        <v>76866</v>
      </c>
      <c r="F18" s="7">
        <f>Engagement_Summary[[#This Row],[New_Followers]]-Engagement_Summary[[#This Row],[Unfollows]]</f>
        <v>1371</v>
      </c>
      <c r="G18" s="10">
        <f>(Engagement_Summary[[#This Row],[New_Followers]]-Engagement_Summary[[#This Row],[Unfollows]])/Engagement_Summary[[#This Row],[Total_Followers]]</f>
        <v>1.7836234485988603E-2</v>
      </c>
      <c r="H18" s="7">
        <v>8.5500000000000007</v>
      </c>
      <c r="I18" s="7">
        <v>14412</v>
      </c>
    </row>
    <row r="19" spans="1:9" x14ac:dyDescent="0.25">
      <c r="A19" s="3">
        <v>45481</v>
      </c>
      <c r="B19" s="6" t="s">
        <v>12</v>
      </c>
      <c r="C19" s="7">
        <v>1253</v>
      </c>
      <c r="D19" s="7">
        <v>136</v>
      </c>
      <c r="E19" s="7">
        <v>193131</v>
      </c>
      <c r="F19" s="7">
        <f>Engagement_Summary[[#This Row],[New_Followers]]-Engagement_Summary[[#This Row],[Unfollows]]</f>
        <v>1117</v>
      </c>
      <c r="G19" s="10">
        <f>(Engagement_Summary[[#This Row],[New_Followers]]-Engagement_Summary[[#This Row],[Unfollows]])/Engagement_Summary[[#This Row],[Total_Followers]]</f>
        <v>5.7836390843520723E-3</v>
      </c>
      <c r="H19" s="7">
        <v>7.99</v>
      </c>
      <c r="I19" s="7">
        <v>15924</v>
      </c>
    </row>
    <row r="20" spans="1:9" x14ac:dyDescent="0.25">
      <c r="A20" s="3">
        <v>45488</v>
      </c>
      <c r="B20" s="6" t="s">
        <v>11</v>
      </c>
      <c r="C20" s="7">
        <v>616</v>
      </c>
      <c r="D20" s="7">
        <v>257</v>
      </c>
      <c r="E20" s="7">
        <v>169665</v>
      </c>
      <c r="F20" s="7">
        <f>Engagement_Summary[[#This Row],[New_Followers]]-Engagement_Summary[[#This Row],[Unfollows]]</f>
        <v>359</v>
      </c>
      <c r="G20" s="10">
        <f>(Engagement_Summary[[#This Row],[New_Followers]]-Engagement_Summary[[#This Row],[Unfollows]])/Engagement_Summary[[#This Row],[Total_Followers]]</f>
        <v>2.1159343412017798E-3</v>
      </c>
      <c r="H20" s="7">
        <v>6.31</v>
      </c>
      <c r="I20" s="7">
        <v>12390</v>
      </c>
    </row>
    <row r="21" spans="1:9" x14ac:dyDescent="0.25">
      <c r="A21" s="3">
        <v>45488</v>
      </c>
      <c r="B21" s="6" t="s">
        <v>17</v>
      </c>
      <c r="C21" s="7">
        <v>1308</v>
      </c>
      <c r="D21" s="7">
        <v>210</v>
      </c>
      <c r="E21" s="7">
        <v>263729</v>
      </c>
      <c r="F21" s="7">
        <f>Engagement_Summary[[#This Row],[New_Followers]]-Engagement_Summary[[#This Row],[Unfollows]]</f>
        <v>1098</v>
      </c>
      <c r="G21" s="10">
        <f>(Engagement_Summary[[#This Row],[New_Followers]]-Engagement_Summary[[#This Row],[Unfollows]])/Engagement_Summary[[#This Row],[Total_Followers]]</f>
        <v>4.1633646660018432E-3</v>
      </c>
      <c r="H21" s="7">
        <v>8.5299999999999994</v>
      </c>
      <c r="I21" s="7">
        <v>25742</v>
      </c>
    </row>
    <row r="22" spans="1:9" x14ac:dyDescent="0.25">
      <c r="A22" s="3">
        <v>45488</v>
      </c>
      <c r="B22" s="6" t="s">
        <v>12</v>
      </c>
      <c r="C22" s="7">
        <v>981</v>
      </c>
      <c r="D22" s="7">
        <v>69</v>
      </c>
      <c r="E22" s="7">
        <v>206921</v>
      </c>
      <c r="F22" s="7">
        <f>Engagement_Summary[[#This Row],[New_Followers]]-Engagement_Summary[[#This Row],[Unfollows]]</f>
        <v>912</v>
      </c>
      <c r="G22" s="10">
        <f>(Engagement_Summary[[#This Row],[New_Followers]]-Engagement_Summary[[#This Row],[Unfollows]])/Engagement_Summary[[#This Row],[Total_Followers]]</f>
        <v>4.4074791828765565E-3</v>
      </c>
      <c r="H22" s="7">
        <v>8.42</v>
      </c>
      <c r="I22" s="7">
        <v>10495</v>
      </c>
    </row>
    <row r="23" spans="1:9" x14ac:dyDescent="0.25">
      <c r="A23" s="3">
        <v>45495</v>
      </c>
      <c r="B23" s="6" t="s">
        <v>11</v>
      </c>
      <c r="C23" s="7">
        <v>866</v>
      </c>
      <c r="D23" s="7">
        <v>74</v>
      </c>
      <c r="E23" s="7">
        <v>204121</v>
      </c>
      <c r="F23" s="7">
        <f>Engagement_Summary[[#This Row],[New_Followers]]-Engagement_Summary[[#This Row],[Unfollows]]</f>
        <v>792</v>
      </c>
      <c r="G23" s="10">
        <f>(Engagement_Summary[[#This Row],[New_Followers]]-Engagement_Summary[[#This Row],[Unfollows]])/Engagement_Summary[[#This Row],[Total_Followers]]</f>
        <v>3.8800515380583087E-3</v>
      </c>
      <c r="H23" s="7">
        <v>9.34</v>
      </c>
      <c r="I23" s="7">
        <v>7797</v>
      </c>
    </row>
    <row r="24" spans="1:9" x14ac:dyDescent="0.25">
      <c r="A24" s="3">
        <v>45495</v>
      </c>
      <c r="B24" s="6" t="s">
        <v>17</v>
      </c>
      <c r="C24" s="7">
        <v>547</v>
      </c>
      <c r="D24" s="7">
        <v>183</v>
      </c>
      <c r="E24" s="7">
        <v>266350</v>
      </c>
      <c r="F24" s="7">
        <f>Engagement_Summary[[#This Row],[New_Followers]]-Engagement_Summary[[#This Row],[Unfollows]]</f>
        <v>364</v>
      </c>
      <c r="G24" s="10">
        <f>(Engagement_Summary[[#This Row],[New_Followers]]-Engagement_Summary[[#This Row],[Unfollows]])/Engagement_Summary[[#This Row],[Total_Followers]]</f>
        <v>1.3666228646517741E-3</v>
      </c>
      <c r="H24" s="7">
        <v>5.65</v>
      </c>
      <c r="I24" s="7">
        <v>15595</v>
      </c>
    </row>
    <row r="25" spans="1:9" x14ac:dyDescent="0.25">
      <c r="A25" s="3">
        <v>45495</v>
      </c>
      <c r="B25" s="6" t="s">
        <v>12</v>
      </c>
      <c r="C25" s="7">
        <v>1241</v>
      </c>
      <c r="D25" s="7">
        <v>116</v>
      </c>
      <c r="E25" s="7">
        <v>380606</v>
      </c>
      <c r="F25" s="7">
        <f>Engagement_Summary[[#This Row],[New_Followers]]-Engagement_Summary[[#This Row],[Unfollows]]</f>
        <v>1125</v>
      </c>
      <c r="G25" s="10">
        <f>(Engagement_Summary[[#This Row],[New_Followers]]-Engagement_Summary[[#This Row],[Unfollows]])/Engagement_Summary[[#This Row],[Total_Followers]]</f>
        <v>2.9558125725816196E-3</v>
      </c>
      <c r="H25" s="7">
        <v>4.2</v>
      </c>
      <c r="I25" s="7">
        <v>24617</v>
      </c>
    </row>
    <row r="26" spans="1:9" x14ac:dyDescent="0.25">
      <c r="A26" s="3">
        <v>45502</v>
      </c>
      <c r="B26" s="6" t="s">
        <v>11</v>
      </c>
      <c r="C26" s="7">
        <v>973</v>
      </c>
      <c r="D26" s="7">
        <v>104</v>
      </c>
      <c r="E26" s="7">
        <v>376358</v>
      </c>
      <c r="F26" s="7">
        <f>Engagement_Summary[[#This Row],[New_Followers]]-Engagement_Summary[[#This Row],[Unfollows]]</f>
        <v>869</v>
      </c>
      <c r="G26" s="10">
        <f>(Engagement_Summary[[#This Row],[New_Followers]]-Engagement_Summary[[#This Row],[Unfollows]])/Engagement_Summary[[#This Row],[Total_Followers]]</f>
        <v>2.3089717768720206E-3</v>
      </c>
      <c r="H26" s="7">
        <v>3.87</v>
      </c>
      <c r="I26" s="7">
        <v>9847</v>
      </c>
    </row>
    <row r="27" spans="1:9" x14ac:dyDescent="0.25">
      <c r="A27" s="3">
        <v>45502</v>
      </c>
      <c r="B27" s="6" t="s">
        <v>17</v>
      </c>
      <c r="C27" s="7">
        <v>611</v>
      </c>
      <c r="D27" s="7">
        <v>197</v>
      </c>
      <c r="E27" s="7">
        <v>79423</v>
      </c>
      <c r="F27" s="7">
        <f>Engagement_Summary[[#This Row],[New_Followers]]-Engagement_Summary[[#This Row],[Unfollows]]</f>
        <v>414</v>
      </c>
      <c r="G27" s="10">
        <f>(Engagement_Summary[[#This Row],[New_Followers]]-Engagement_Summary[[#This Row],[Unfollows]])/Engagement_Summary[[#This Row],[Total_Followers]]</f>
        <v>5.2125958475504573E-3</v>
      </c>
      <c r="H27" s="7">
        <v>5.82</v>
      </c>
      <c r="I27" s="7">
        <v>13644</v>
      </c>
    </row>
    <row r="28" spans="1:9" x14ac:dyDescent="0.25">
      <c r="A28" s="3">
        <v>45502</v>
      </c>
      <c r="B28" s="6" t="s">
        <v>12</v>
      </c>
      <c r="C28" s="7">
        <v>983</v>
      </c>
      <c r="D28" s="7">
        <v>134</v>
      </c>
      <c r="E28" s="7">
        <v>352178</v>
      </c>
      <c r="F28" s="7">
        <f>Engagement_Summary[[#This Row],[New_Followers]]-Engagement_Summary[[#This Row],[Unfollows]]</f>
        <v>849</v>
      </c>
      <c r="G28" s="10">
        <f>(Engagement_Summary[[#This Row],[New_Followers]]-Engagement_Summary[[#This Row],[Unfollows]])/Engagement_Summary[[#This Row],[Total_Followers]]</f>
        <v>2.4107127645679174E-3</v>
      </c>
      <c r="H28" s="7">
        <v>3.55</v>
      </c>
      <c r="I28" s="7">
        <v>11421</v>
      </c>
    </row>
    <row r="29" spans="1:9" x14ac:dyDescent="0.25">
      <c r="A29" s="3">
        <v>45509</v>
      </c>
      <c r="B29" s="6" t="s">
        <v>11</v>
      </c>
      <c r="C29" s="7">
        <v>1449</v>
      </c>
      <c r="D29" s="7">
        <v>96</v>
      </c>
      <c r="E29" s="7">
        <v>200636</v>
      </c>
      <c r="F29" s="7">
        <f>Engagement_Summary[[#This Row],[New_Followers]]-Engagement_Summary[[#This Row],[Unfollows]]</f>
        <v>1353</v>
      </c>
      <c r="G29" s="10">
        <f>(Engagement_Summary[[#This Row],[New_Followers]]-Engagement_Summary[[#This Row],[Unfollows]])/Engagement_Summary[[#This Row],[Total_Followers]]</f>
        <v>6.7435554935305723E-3</v>
      </c>
      <c r="H29" s="7">
        <v>9.92</v>
      </c>
      <c r="I29" s="7">
        <v>15613</v>
      </c>
    </row>
    <row r="30" spans="1:9" x14ac:dyDescent="0.25">
      <c r="A30" s="3">
        <v>45509</v>
      </c>
      <c r="B30" s="6" t="s">
        <v>17</v>
      </c>
      <c r="C30" s="7">
        <v>752</v>
      </c>
      <c r="D30" s="7">
        <v>170</v>
      </c>
      <c r="E30" s="7">
        <v>132756</v>
      </c>
      <c r="F30" s="7">
        <f>Engagement_Summary[[#This Row],[New_Followers]]-Engagement_Summary[[#This Row],[Unfollows]]</f>
        <v>582</v>
      </c>
      <c r="G30" s="10">
        <f>(Engagement_Summary[[#This Row],[New_Followers]]-Engagement_Summary[[#This Row],[Unfollows]])/Engagement_Summary[[#This Row],[Total_Followers]]</f>
        <v>4.3839826448522105E-3</v>
      </c>
      <c r="H30" s="7">
        <v>8.17</v>
      </c>
      <c r="I30" s="7">
        <v>23900</v>
      </c>
    </row>
    <row r="31" spans="1:9" x14ac:dyDescent="0.25">
      <c r="A31" s="3">
        <v>45509</v>
      </c>
      <c r="B31" s="6" t="s">
        <v>12</v>
      </c>
      <c r="C31" s="7">
        <v>937</v>
      </c>
      <c r="D31" s="7">
        <v>179</v>
      </c>
      <c r="E31" s="7">
        <v>318098</v>
      </c>
      <c r="F31" s="7">
        <f>Engagement_Summary[[#This Row],[New_Followers]]-Engagement_Summary[[#This Row],[Unfollows]]</f>
        <v>758</v>
      </c>
      <c r="G31" s="10">
        <f>(Engagement_Summary[[#This Row],[New_Followers]]-Engagement_Summary[[#This Row],[Unfollows]])/Engagement_Summary[[#This Row],[Total_Followers]]</f>
        <v>2.3829134417695176E-3</v>
      </c>
      <c r="H31" s="7">
        <v>5.3</v>
      </c>
      <c r="I31" s="7">
        <v>5836</v>
      </c>
    </row>
    <row r="32" spans="1:9" x14ac:dyDescent="0.25">
      <c r="A32" s="3">
        <v>45516</v>
      </c>
      <c r="B32" s="6" t="s">
        <v>11</v>
      </c>
      <c r="C32" s="7">
        <v>1060</v>
      </c>
      <c r="D32" s="7">
        <v>83</v>
      </c>
      <c r="E32" s="7">
        <v>68724</v>
      </c>
      <c r="F32" s="7">
        <f>Engagement_Summary[[#This Row],[New_Followers]]-Engagement_Summary[[#This Row],[Unfollows]]</f>
        <v>977</v>
      </c>
      <c r="G32" s="10">
        <f>(Engagement_Summary[[#This Row],[New_Followers]]-Engagement_Summary[[#This Row],[Unfollows]])/Engagement_Summary[[#This Row],[Total_Followers]]</f>
        <v>1.4216285431581398E-2</v>
      </c>
      <c r="H32" s="7">
        <v>5.98</v>
      </c>
      <c r="I32" s="7">
        <v>5624</v>
      </c>
    </row>
    <row r="33" spans="1:9" x14ac:dyDescent="0.25">
      <c r="A33" s="3">
        <v>45516</v>
      </c>
      <c r="B33" s="6" t="s">
        <v>17</v>
      </c>
      <c r="C33" s="7">
        <v>1456</v>
      </c>
      <c r="D33" s="7">
        <v>265</v>
      </c>
      <c r="E33" s="7">
        <v>115505</v>
      </c>
      <c r="F33" s="7">
        <f>Engagement_Summary[[#This Row],[New_Followers]]-Engagement_Summary[[#This Row],[Unfollows]]</f>
        <v>1191</v>
      </c>
      <c r="G33" s="10">
        <f>(Engagement_Summary[[#This Row],[New_Followers]]-Engagement_Summary[[#This Row],[Unfollows]])/Engagement_Summary[[#This Row],[Total_Followers]]</f>
        <v>1.031124193757846E-2</v>
      </c>
      <c r="H33" s="7">
        <v>7.49</v>
      </c>
      <c r="I33" s="7">
        <v>10311</v>
      </c>
    </row>
    <row r="34" spans="1:9" x14ac:dyDescent="0.25">
      <c r="A34" s="3">
        <v>45516</v>
      </c>
      <c r="B34" s="6" t="s">
        <v>12</v>
      </c>
      <c r="C34" s="7">
        <v>1109</v>
      </c>
      <c r="D34" s="7">
        <v>205</v>
      </c>
      <c r="E34" s="7">
        <v>276722</v>
      </c>
      <c r="F34" s="7">
        <f>Engagement_Summary[[#This Row],[New_Followers]]-Engagement_Summary[[#This Row],[Unfollows]]</f>
        <v>904</v>
      </c>
      <c r="G34" s="10">
        <f>(Engagement_Summary[[#This Row],[New_Followers]]-Engagement_Summary[[#This Row],[Unfollows]])/Engagement_Summary[[#This Row],[Total_Followers]]</f>
        <v>3.2668165162148292E-3</v>
      </c>
      <c r="H34" s="7">
        <v>9.3800000000000008</v>
      </c>
      <c r="I34" s="7">
        <v>8274</v>
      </c>
    </row>
    <row r="35" spans="1:9" x14ac:dyDescent="0.25">
      <c r="A35" s="3">
        <v>45523</v>
      </c>
      <c r="B35" s="6" t="s">
        <v>11</v>
      </c>
      <c r="C35" s="7">
        <v>1002</v>
      </c>
      <c r="D35" s="7">
        <v>93</v>
      </c>
      <c r="E35" s="7">
        <v>353538</v>
      </c>
      <c r="F35" s="7">
        <f>Engagement_Summary[[#This Row],[New_Followers]]-Engagement_Summary[[#This Row],[Unfollows]]</f>
        <v>909</v>
      </c>
      <c r="G35" s="10">
        <f>(Engagement_Summary[[#This Row],[New_Followers]]-Engagement_Summary[[#This Row],[Unfollows]])/Engagement_Summary[[#This Row],[Total_Followers]]</f>
        <v>2.5711521816608116E-3</v>
      </c>
      <c r="H35" s="7">
        <v>5.84</v>
      </c>
      <c r="I35" s="7">
        <v>6031</v>
      </c>
    </row>
    <row r="36" spans="1:9" x14ac:dyDescent="0.25">
      <c r="A36" s="3">
        <v>45523</v>
      </c>
      <c r="B36" s="6" t="s">
        <v>17</v>
      </c>
      <c r="C36" s="7">
        <v>571</v>
      </c>
      <c r="D36" s="7">
        <v>189</v>
      </c>
      <c r="E36" s="7">
        <v>61445</v>
      </c>
      <c r="F36" s="7">
        <f>Engagement_Summary[[#This Row],[New_Followers]]-Engagement_Summary[[#This Row],[Unfollows]]</f>
        <v>382</v>
      </c>
      <c r="G36" s="10">
        <f>(Engagement_Summary[[#This Row],[New_Followers]]-Engagement_Summary[[#This Row],[Unfollows]])/Engagement_Summary[[#This Row],[Total_Followers]]</f>
        <v>6.2169419806330862E-3</v>
      </c>
      <c r="H36" s="7">
        <v>5.41</v>
      </c>
      <c r="I36" s="7">
        <v>27829</v>
      </c>
    </row>
    <row r="37" spans="1:9" x14ac:dyDescent="0.25">
      <c r="A37" s="3">
        <v>45523</v>
      </c>
      <c r="B37" s="6" t="s">
        <v>12</v>
      </c>
      <c r="C37" s="7">
        <v>1240</v>
      </c>
      <c r="D37" s="7">
        <v>231</v>
      </c>
      <c r="E37" s="7">
        <v>165035</v>
      </c>
      <c r="F37" s="7">
        <f>Engagement_Summary[[#This Row],[New_Followers]]-Engagement_Summary[[#This Row],[Unfollows]]</f>
        <v>1009</v>
      </c>
      <c r="G37" s="10">
        <f>(Engagement_Summary[[#This Row],[New_Followers]]-Engagement_Summary[[#This Row],[Unfollows]])/Engagement_Summary[[#This Row],[Total_Followers]]</f>
        <v>6.1138546368952043E-3</v>
      </c>
      <c r="H37" s="7">
        <v>6.05</v>
      </c>
      <c r="I37" s="7">
        <v>18267</v>
      </c>
    </row>
    <row r="38" spans="1:9" x14ac:dyDescent="0.25">
      <c r="A38" s="3">
        <v>45530</v>
      </c>
      <c r="B38" s="6" t="s">
        <v>11</v>
      </c>
      <c r="C38" s="7">
        <v>1154</v>
      </c>
      <c r="D38" s="7">
        <v>132</v>
      </c>
      <c r="E38" s="7">
        <v>194595</v>
      </c>
      <c r="F38" s="7">
        <f>Engagement_Summary[[#This Row],[New_Followers]]-Engagement_Summary[[#This Row],[Unfollows]]</f>
        <v>1022</v>
      </c>
      <c r="G38" s="10">
        <f>(Engagement_Summary[[#This Row],[New_Followers]]-Engagement_Summary[[#This Row],[Unfollows]])/Engagement_Summary[[#This Row],[Total_Followers]]</f>
        <v>5.2519335029163131E-3</v>
      </c>
      <c r="H38" s="7">
        <v>7.54</v>
      </c>
      <c r="I38" s="7">
        <v>26624</v>
      </c>
    </row>
    <row r="39" spans="1:9" x14ac:dyDescent="0.25">
      <c r="A39" s="3">
        <v>45530</v>
      </c>
      <c r="B39" s="6" t="s">
        <v>17</v>
      </c>
      <c r="C39" s="7">
        <v>537</v>
      </c>
      <c r="D39" s="7">
        <v>275</v>
      </c>
      <c r="E39" s="7">
        <v>236238</v>
      </c>
      <c r="F39" s="7">
        <f>Engagement_Summary[[#This Row],[New_Followers]]-Engagement_Summary[[#This Row],[Unfollows]]</f>
        <v>262</v>
      </c>
      <c r="G39" s="10">
        <f>(Engagement_Summary[[#This Row],[New_Followers]]-Engagement_Summary[[#This Row],[Unfollows]])/Engagement_Summary[[#This Row],[Total_Followers]]</f>
        <v>1.1090510417460359E-3</v>
      </c>
      <c r="H39" s="7">
        <v>5.87</v>
      </c>
      <c r="I39" s="7">
        <v>26644</v>
      </c>
    </row>
    <row r="40" spans="1:9" x14ac:dyDescent="0.25">
      <c r="A40" s="3">
        <v>45530</v>
      </c>
      <c r="B40" s="6" t="s">
        <v>12</v>
      </c>
      <c r="C40" s="7">
        <v>1456</v>
      </c>
      <c r="D40" s="7">
        <v>290</v>
      </c>
      <c r="E40" s="7">
        <v>271044</v>
      </c>
      <c r="F40" s="7">
        <f>Engagement_Summary[[#This Row],[New_Followers]]-Engagement_Summary[[#This Row],[Unfollows]]</f>
        <v>1166</v>
      </c>
      <c r="G40" s="10">
        <f>(Engagement_Summary[[#This Row],[New_Followers]]-Engagement_Summary[[#This Row],[Unfollows]])/Engagement_Summary[[#This Row],[Total_Followers]]</f>
        <v>4.3018845648676966E-3</v>
      </c>
      <c r="H40" s="7">
        <v>7.17</v>
      </c>
      <c r="I40" s="7">
        <v>13051</v>
      </c>
    </row>
    <row r="41" spans="1:9" x14ac:dyDescent="0.25">
      <c r="A41" s="3">
        <v>45537</v>
      </c>
      <c r="B41" s="6" t="s">
        <v>11</v>
      </c>
      <c r="C41" s="7">
        <v>721</v>
      </c>
      <c r="D41" s="7">
        <v>206</v>
      </c>
      <c r="E41" s="7">
        <v>334887</v>
      </c>
      <c r="F41" s="7">
        <f>Engagement_Summary[[#This Row],[New_Followers]]-Engagement_Summary[[#This Row],[Unfollows]]</f>
        <v>515</v>
      </c>
      <c r="G41" s="10">
        <f>(Engagement_Summary[[#This Row],[New_Followers]]-Engagement_Summary[[#This Row],[Unfollows]])/Engagement_Summary[[#This Row],[Total_Followers]]</f>
        <v>1.5378321642822803E-3</v>
      </c>
      <c r="H41" s="7">
        <v>6.05</v>
      </c>
      <c r="I41" s="7">
        <v>14217</v>
      </c>
    </row>
    <row r="42" spans="1:9" x14ac:dyDescent="0.25">
      <c r="A42" s="3">
        <v>45537</v>
      </c>
      <c r="B42" s="6" t="s">
        <v>17</v>
      </c>
      <c r="C42" s="7">
        <v>1098</v>
      </c>
      <c r="D42" s="7">
        <v>142</v>
      </c>
      <c r="E42" s="7">
        <v>359150</v>
      </c>
      <c r="F42" s="7">
        <f>Engagement_Summary[[#This Row],[New_Followers]]-Engagement_Summary[[#This Row],[Unfollows]]</f>
        <v>956</v>
      </c>
      <c r="G42" s="10">
        <f>(Engagement_Summary[[#This Row],[New_Followers]]-Engagement_Summary[[#This Row],[Unfollows]])/Engagement_Summary[[#This Row],[Total_Followers]]</f>
        <v>2.6618404566337186E-3</v>
      </c>
      <c r="H42" s="7">
        <v>7.51</v>
      </c>
      <c r="I42" s="7">
        <v>16385</v>
      </c>
    </row>
    <row r="43" spans="1:9" x14ac:dyDescent="0.25">
      <c r="A43" s="3">
        <v>45537</v>
      </c>
      <c r="B43" s="6" t="s">
        <v>12</v>
      </c>
      <c r="C43" s="7">
        <v>1096</v>
      </c>
      <c r="D43" s="7">
        <v>65</v>
      </c>
      <c r="E43" s="7">
        <v>358295</v>
      </c>
      <c r="F43" s="7">
        <f>Engagement_Summary[[#This Row],[New_Followers]]-Engagement_Summary[[#This Row],[Unfollows]]</f>
        <v>1031</v>
      </c>
      <c r="G43" s="10">
        <f>(Engagement_Summary[[#This Row],[New_Followers]]-Engagement_Summary[[#This Row],[Unfollows]])/Engagement_Summary[[#This Row],[Total_Followers]]</f>
        <v>2.8775171297394605E-3</v>
      </c>
      <c r="H43" s="7">
        <v>7.66</v>
      </c>
      <c r="I43" s="7">
        <v>24548</v>
      </c>
    </row>
    <row r="44" spans="1:9" x14ac:dyDescent="0.25">
      <c r="A44" s="3">
        <v>45544</v>
      </c>
      <c r="B44" s="6" t="s">
        <v>11</v>
      </c>
      <c r="C44" s="7">
        <v>912</v>
      </c>
      <c r="D44" s="7">
        <v>275</v>
      </c>
      <c r="E44" s="7">
        <v>368454</v>
      </c>
      <c r="F44" s="7">
        <f>Engagement_Summary[[#This Row],[New_Followers]]-Engagement_Summary[[#This Row],[Unfollows]]</f>
        <v>637</v>
      </c>
      <c r="G44" s="10">
        <f>(Engagement_Summary[[#This Row],[New_Followers]]-Engagement_Summary[[#This Row],[Unfollows]])/Engagement_Summary[[#This Row],[Total_Followers]]</f>
        <v>1.7288453918263881E-3</v>
      </c>
      <c r="H44" s="7">
        <v>6.03</v>
      </c>
      <c r="I44" s="7">
        <v>9195</v>
      </c>
    </row>
    <row r="45" spans="1:9" x14ac:dyDescent="0.25">
      <c r="A45" s="3">
        <v>45544</v>
      </c>
      <c r="B45" s="6" t="s">
        <v>17</v>
      </c>
      <c r="C45" s="7">
        <v>1430</v>
      </c>
      <c r="D45" s="7">
        <v>162</v>
      </c>
      <c r="E45" s="7">
        <v>269082</v>
      </c>
      <c r="F45" s="7">
        <f>Engagement_Summary[[#This Row],[New_Followers]]-Engagement_Summary[[#This Row],[Unfollows]]</f>
        <v>1268</v>
      </c>
      <c r="G45" s="10">
        <f>(Engagement_Summary[[#This Row],[New_Followers]]-Engagement_Summary[[#This Row],[Unfollows]])/Engagement_Summary[[#This Row],[Total_Followers]]</f>
        <v>4.7123181781018424E-3</v>
      </c>
      <c r="H45" s="7">
        <v>3.4</v>
      </c>
      <c r="I45" s="7">
        <v>18071</v>
      </c>
    </row>
    <row r="46" spans="1:9" x14ac:dyDescent="0.25">
      <c r="A46" s="3">
        <v>45544</v>
      </c>
      <c r="B46" s="6" t="s">
        <v>12</v>
      </c>
      <c r="C46" s="7">
        <v>854</v>
      </c>
      <c r="D46" s="7">
        <v>129</v>
      </c>
      <c r="E46" s="7">
        <v>310903</v>
      </c>
      <c r="F46" s="7">
        <f>Engagement_Summary[[#This Row],[New_Followers]]-Engagement_Summary[[#This Row],[Unfollows]]</f>
        <v>725</v>
      </c>
      <c r="G46" s="10">
        <f>(Engagement_Summary[[#This Row],[New_Followers]]-Engagement_Summary[[#This Row],[Unfollows]])/Engagement_Summary[[#This Row],[Total_Followers]]</f>
        <v>2.3319170287838973E-3</v>
      </c>
      <c r="H46" s="7">
        <v>7.83</v>
      </c>
      <c r="I46" s="7">
        <v>16875</v>
      </c>
    </row>
    <row r="47" spans="1:9" x14ac:dyDescent="0.25">
      <c r="A47" s="3">
        <v>45551</v>
      </c>
      <c r="B47" s="6" t="s">
        <v>11</v>
      </c>
      <c r="C47" s="7">
        <v>681</v>
      </c>
      <c r="D47" s="7">
        <v>210</v>
      </c>
      <c r="E47" s="7">
        <v>248581</v>
      </c>
      <c r="F47" s="7">
        <f>Engagement_Summary[[#This Row],[New_Followers]]-Engagement_Summary[[#This Row],[Unfollows]]</f>
        <v>471</v>
      </c>
      <c r="G47" s="10">
        <f>(Engagement_Summary[[#This Row],[New_Followers]]-Engagement_Summary[[#This Row],[Unfollows]])/Engagement_Summary[[#This Row],[Total_Followers]]</f>
        <v>1.8947546272643525E-3</v>
      </c>
      <c r="H47" s="7">
        <v>8.76</v>
      </c>
      <c r="I47" s="7">
        <v>9567</v>
      </c>
    </row>
    <row r="48" spans="1:9" x14ac:dyDescent="0.25">
      <c r="A48" s="3">
        <v>45551</v>
      </c>
      <c r="B48" s="6" t="s">
        <v>17</v>
      </c>
      <c r="C48" s="7">
        <v>1373</v>
      </c>
      <c r="D48" s="7">
        <v>82</v>
      </c>
      <c r="E48" s="7">
        <v>371015</v>
      </c>
      <c r="F48" s="7">
        <f>Engagement_Summary[[#This Row],[New_Followers]]-Engagement_Summary[[#This Row],[Unfollows]]</f>
        <v>1291</v>
      </c>
      <c r="G48" s="10">
        <f>(Engagement_Summary[[#This Row],[New_Followers]]-Engagement_Summary[[#This Row],[Unfollows]])/Engagement_Summary[[#This Row],[Total_Followers]]</f>
        <v>3.4796436801746559E-3</v>
      </c>
      <c r="H48" s="7">
        <v>9.52</v>
      </c>
      <c r="I48" s="7">
        <v>20306</v>
      </c>
    </row>
    <row r="49" spans="1:9" x14ac:dyDescent="0.25">
      <c r="A49" s="3">
        <v>45551</v>
      </c>
      <c r="B49" s="6" t="s">
        <v>12</v>
      </c>
      <c r="C49" s="7">
        <v>685</v>
      </c>
      <c r="D49" s="7">
        <v>285</v>
      </c>
      <c r="E49" s="7">
        <v>177452</v>
      </c>
      <c r="F49" s="7">
        <f>Engagement_Summary[[#This Row],[New_Followers]]-Engagement_Summary[[#This Row],[Unfollows]]</f>
        <v>400</v>
      </c>
      <c r="G49" s="10">
        <f>(Engagement_Summary[[#This Row],[New_Followers]]-Engagement_Summary[[#This Row],[Unfollows]])/Engagement_Summary[[#This Row],[Total_Followers]]</f>
        <v>2.2541306944976669E-3</v>
      </c>
      <c r="H49" s="7">
        <v>3.36</v>
      </c>
      <c r="I49" s="7">
        <v>21134</v>
      </c>
    </row>
    <row r="50" spans="1:9" x14ac:dyDescent="0.25">
      <c r="A50" s="3">
        <v>45558</v>
      </c>
      <c r="B50" s="6" t="s">
        <v>11</v>
      </c>
      <c r="C50" s="7">
        <v>1290</v>
      </c>
      <c r="D50" s="7">
        <v>177</v>
      </c>
      <c r="E50" s="7">
        <v>80745</v>
      </c>
      <c r="F50" s="7">
        <f>Engagement_Summary[[#This Row],[New_Followers]]-Engagement_Summary[[#This Row],[Unfollows]]</f>
        <v>1113</v>
      </c>
      <c r="G50" s="10">
        <f>(Engagement_Summary[[#This Row],[New_Followers]]-Engagement_Summary[[#This Row],[Unfollows]])/Engagement_Summary[[#This Row],[Total_Followers]]</f>
        <v>1.3784135240572171E-2</v>
      </c>
      <c r="H50" s="7">
        <v>9.2200000000000006</v>
      </c>
      <c r="I50" s="7">
        <v>26872</v>
      </c>
    </row>
    <row r="51" spans="1:9" x14ac:dyDescent="0.25">
      <c r="A51" s="3">
        <v>45558</v>
      </c>
      <c r="B51" s="6" t="s">
        <v>17</v>
      </c>
      <c r="C51" s="7">
        <v>1437</v>
      </c>
      <c r="D51" s="7">
        <v>239</v>
      </c>
      <c r="E51" s="7">
        <v>362441</v>
      </c>
      <c r="F51" s="7">
        <f>Engagement_Summary[[#This Row],[New_Followers]]-Engagement_Summary[[#This Row],[Unfollows]]</f>
        <v>1198</v>
      </c>
      <c r="G51" s="10">
        <f>(Engagement_Summary[[#This Row],[New_Followers]]-Engagement_Summary[[#This Row],[Unfollows]])/Engagement_Summary[[#This Row],[Total_Followers]]</f>
        <v>3.305365562946797E-3</v>
      </c>
      <c r="H51" s="7">
        <v>5.57</v>
      </c>
      <c r="I51" s="7">
        <v>10253</v>
      </c>
    </row>
    <row r="52" spans="1:9" x14ac:dyDescent="0.25">
      <c r="A52" s="3">
        <v>45558</v>
      </c>
      <c r="B52" s="6" t="s">
        <v>12</v>
      </c>
      <c r="C52" s="7">
        <v>769</v>
      </c>
      <c r="D52" s="7">
        <v>295</v>
      </c>
      <c r="E52" s="7">
        <v>344771</v>
      </c>
      <c r="F52" s="7">
        <f>Engagement_Summary[[#This Row],[New_Followers]]-Engagement_Summary[[#This Row],[Unfollows]]</f>
        <v>474</v>
      </c>
      <c r="G52" s="10">
        <f>(Engagement_Summary[[#This Row],[New_Followers]]-Engagement_Summary[[#This Row],[Unfollows]])/Engagement_Summary[[#This Row],[Total_Followers]]</f>
        <v>1.3748256088824177E-3</v>
      </c>
      <c r="H52" s="7">
        <v>8.06</v>
      </c>
      <c r="I52" s="7">
        <v>23963</v>
      </c>
    </row>
    <row r="53" spans="1:9" x14ac:dyDescent="0.25">
      <c r="A53" s="3">
        <v>45565</v>
      </c>
      <c r="B53" s="6" t="s">
        <v>11</v>
      </c>
      <c r="C53" s="7">
        <v>1416</v>
      </c>
      <c r="D53" s="7">
        <v>284</v>
      </c>
      <c r="E53" s="7">
        <v>374952</v>
      </c>
      <c r="F53" s="7">
        <f>Engagement_Summary[[#This Row],[New_Followers]]-Engagement_Summary[[#This Row],[Unfollows]]</f>
        <v>1132</v>
      </c>
      <c r="G53" s="10">
        <f>(Engagement_Summary[[#This Row],[New_Followers]]-Engagement_Summary[[#This Row],[Unfollows]])/Engagement_Summary[[#This Row],[Total_Followers]]</f>
        <v>3.0190531054641659E-3</v>
      </c>
      <c r="H53" s="7">
        <v>3.45</v>
      </c>
      <c r="I53" s="7">
        <v>11335</v>
      </c>
    </row>
    <row r="54" spans="1:9" x14ac:dyDescent="0.25">
      <c r="A54" s="3">
        <v>45565</v>
      </c>
      <c r="B54" s="6" t="s">
        <v>17</v>
      </c>
      <c r="C54" s="7">
        <v>998</v>
      </c>
      <c r="D54" s="7">
        <v>154</v>
      </c>
      <c r="E54" s="7">
        <v>179781</v>
      </c>
      <c r="F54" s="7">
        <f>Engagement_Summary[[#This Row],[New_Followers]]-Engagement_Summary[[#This Row],[Unfollows]]</f>
        <v>844</v>
      </c>
      <c r="G54" s="10">
        <f>(Engagement_Summary[[#This Row],[New_Followers]]-Engagement_Summary[[#This Row],[Unfollows]])/Engagement_Summary[[#This Row],[Total_Followers]]</f>
        <v>4.6946006530167259E-3</v>
      </c>
      <c r="H54" s="7">
        <v>9.58</v>
      </c>
      <c r="I54" s="7">
        <v>12115</v>
      </c>
    </row>
    <row r="55" spans="1:9" x14ac:dyDescent="0.25">
      <c r="A55" s="3">
        <v>45565</v>
      </c>
      <c r="B55" s="6" t="s">
        <v>12</v>
      </c>
      <c r="C55" s="7">
        <v>1421</v>
      </c>
      <c r="D55" s="7">
        <v>246</v>
      </c>
      <c r="E55" s="7">
        <v>358581</v>
      </c>
      <c r="F55" s="7">
        <f>Engagement_Summary[[#This Row],[New_Followers]]-Engagement_Summary[[#This Row],[Unfollows]]</f>
        <v>1175</v>
      </c>
      <c r="G55" s="10">
        <f>(Engagement_Summary[[#This Row],[New_Followers]]-Engagement_Summary[[#This Row],[Unfollows]])/Engagement_Summary[[#This Row],[Total_Followers]]</f>
        <v>3.2768049617799048E-3</v>
      </c>
      <c r="H55" s="7">
        <v>8.8800000000000008</v>
      </c>
      <c r="I55" s="7">
        <v>24358</v>
      </c>
    </row>
    <row r="56" spans="1:9" x14ac:dyDescent="0.25">
      <c r="A56" s="3">
        <v>45572</v>
      </c>
      <c r="B56" s="6" t="s">
        <v>11</v>
      </c>
      <c r="C56" s="7">
        <v>764</v>
      </c>
      <c r="D56" s="7">
        <v>205</v>
      </c>
      <c r="E56" s="7">
        <v>319294</v>
      </c>
      <c r="F56" s="7">
        <f>Engagement_Summary[[#This Row],[New_Followers]]-Engagement_Summary[[#This Row],[Unfollows]]</f>
        <v>559</v>
      </c>
      <c r="G56" s="10">
        <f>(Engagement_Summary[[#This Row],[New_Followers]]-Engagement_Summary[[#This Row],[Unfollows]])/Engagement_Summary[[#This Row],[Total_Followers]]</f>
        <v>1.7507375647522346E-3</v>
      </c>
      <c r="H56" s="7">
        <v>6.23</v>
      </c>
      <c r="I56" s="7">
        <v>12181</v>
      </c>
    </row>
    <row r="57" spans="1:9" x14ac:dyDescent="0.25">
      <c r="A57" s="3">
        <v>45572</v>
      </c>
      <c r="B57" s="6" t="s">
        <v>17</v>
      </c>
      <c r="C57" s="7">
        <v>678</v>
      </c>
      <c r="D57" s="7">
        <v>124</v>
      </c>
      <c r="E57" s="7">
        <v>192022</v>
      </c>
      <c r="F57" s="7">
        <f>Engagement_Summary[[#This Row],[New_Followers]]-Engagement_Summary[[#This Row],[Unfollows]]</f>
        <v>554</v>
      </c>
      <c r="G57" s="10">
        <f>(Engagement_Summary[[#This Row],[New_Followers]]-Engagement_Summary[[#This Row],[Unfollows]])/Engagement_Summary[[#This Row],[Total_Followers]]</f>
        <v>2.8850860838862216E-3</v>
      </c>
      <c r="H57" s="7">
        <v>8.4499999999999993</v>
      </c>
      <c r="I57" s="7">
        <v>17729</v>
      </c>
    </row>
    <row r="58" spans="1:9" x14ac:dyDescent="0.25">
      <c r="A58" s="3">
        <v>45572</v>
      </c>
      <c r="B58" s="6" t="s">
        <v>12</v>
      </c>
      <c r="C58" s="7">
        <v>1328</v>
      </c>
      <c r="D58" s="7">
        <v>103</v>
      </c>
      <c r="E58" s="7">
        <v>151462</v>
      </c>
      <c r="F58" s="7">
        <f>Engagement_Summary[[#This Row],[New_Followers]]-Engagement_Summary[[#This Row],[Unfollows]]</f>
        <v>1225</v>
      </c>
      <c r="G58" s="10">
        <f>(Engagement_Summary[[#This Row],[New_Followers]]-Engagement_Summary[[#This Row],[Unfollows]])/Engagement_Summary[[#This Row],[Total_Followers]]</f>
        <v>8.0878372132944243E-3</v>
      </c>
      <c r="H58" s="7">
        <v>8.4</v>
      </c>
      <c r="I58" s="7">
        <v>10881</v>
      </c>
    </row>
    <row r="59" spans="1:9" x14ac:dyDescent="0.25">
      <c r="A59" s="3">
        <v>45579</v>
      </c>
      <c r="B59" s="6" t="s">
        <v>11</v>
      </c>
      <c r="C59" s="7">
        <v>1161</v>
      </c>
      <c r="D59" s="7">
        <v>269</v>
      </c>
      <c r="E59" s="7">
        <v>188193</v>
      </c>
      <c r="F59" s="7">
        <f>Engagement_Summary[[#This Row],[New_Followers]]-Engagement_Summary[[#This Row],[Unfollows]]</f>
        <v>892</v>
      </c>
      <c r="G59" s="10">
        <f>(Engagement_Summary[[#This Row],[New_Followers]]-Engagement_Summary[[#This Row],[Unfollows]])/Engagement_Summary[[#This Row],[Total_Followers]]</f>
        <v>4.7398149771776844E-3</v>
      </c>
      <c r="H59" s="7">
        <v>7.34</v>
      </c>
      <c r="I59" s="7">
        <v>18576</v>
      </c>
    </row>
    <row r="60" spans="1:9" x14ac:dyDescent="0.25">
      <c r="A60" s="3">
        <v>45579</v>
      </c>
      <c r="B60" s="6" t="s">
        <v>17</v>
      </c>
      <c r="C60" s="7">
        <v>588</v>
      </c>
      <c r="D60" s="7">
        <v>52</v>
      </c>
      <c r="E60" s="7">
        <v>292040</v>
      </c>
      <c r="F60" s="7">
        <f>Engagement_Summary[[#This Row],[New_Followers]]-Engagement_Summary[[#This Row],[Unfollows]]</f>
        <v>536</v>
      </c>
      <c r="G60" s="10">
        <f>(Engagement_Summary[[#This Row],[New_Followers]]-Engagement_Summary[[#This Row],[Unfollows]])/Engagement_Summary[[#This Row],[Total_Followers]]</f>
        <v>1.8353650184906177E-3</v>
      </c>
      <c r="H60" s="7">
        <v>8.14</v>
      </c>
      <c r="I60" s="7">
        <v>9383</v>
      </c>
    </row>
    <row r="61" spans="1:9" x14ac:dyDescent="0.25">
      <c r="A61" s="3">
        <v>45579</v>
      </c>
      <c r="B61" s="6" t="s">
        <v>12</v>
      </c>
      <c r="C61" s="7">
        <v>1457</v>
      </c>
      <c r="D61" s="7">
        <v>215</v>
      </c>
      <c r="E61" s="7">
        <v>325325</v>
      </c>
      <c r="F61" s="7">
        <f>Engagement_Summary[[#This Row],[New_Followers]]-Engagement_Summary[[#This Row],[Unfollows]]</f>
        <v>1242</v>
      </c>
      <c r="G61" s="10">
        <f>(Engagement_Summary[[#This Row],[New_Followers]]-Engagement_Summary[[#This Row],[Unfollows]])/Engagement_Summary[[#This Row],[Total_Followers]]</f>
        <v>3.8177207407976638E-3</v>
      </c>
      <c r="H61" s="7">
        <v>9.58</v>
      </c>
      <c r="I61" s="7">
        <v>14178</v>
      </c>
    </row>
    <row r="62" spans="1:9" x14ac:dyDescent="0.25">
      <c r="A62" s="3">
        <v>45586</v>
      </c>
      <c r="B62" s="6" t="s">
        <v>11</v>
      </c>
      <c r="C62" s="7">
        <v>1190</v>
      </c>
      <c r="D62" s="7">
        <v>242</v>
      </c>
      <c r="E62" s="7">
        <v>86849</v>
      </c>
      <c r="F62" s="7">
        <f>Engagement_Summary[[#This Row],[New_Followers]]-Engagement_Summary[[#This Row],[Unfollows]]</f>
        <v>948</v>
      </c>
      <c r="G62" s="10">
        <f>(Engagement_Summary[[#This Row],[New_Followers]]-Engagement_Summary[[#This Row],[Unfollows]])/Engagement_Summary[[#This Row],[Total_Followers]]</f>
        <v>1.0915497012055407E-2</v>
      </c>
      <c r="H62" s="7">
        <v>8.06</v>
      </c>
      <c r="I62" s="7">
        <v>21254</v>
      </c>
    </row>
    <row r="63" spans="1:9" x14ac:dyDescent="0.25">
      <c r="A63" s="3">
        <v>45586</v>
      </c>
      <c r="B63" s="6" t="s">
        <v>17</v>
      </c>
      <c r="C63" s="7">
        <v>886</v>
      </c>
      <c r="D63" s="7">
        <v>124</v>
      </c>
      <c r="E63" s="7">
        <v>141161</v>
      </c>
      <c r="F63" s="7">
        <f>Engagement_Summary[[#This Row],[New_Followers]]-Engagement_Summary[[#This Row],[Unfollows]]</f>
        <v>762</v>
      </c>
      <c r="G63" s="10">
        <f>(Engagement_Summary[[#This Row],[New_Followers]]-Engagement_Summary[[#This Row],[Unfollows]])/Engagement_Summary[[#This Row],[Total_Followers]]</f>
        <v>5.3980915408646862E-3</v>
      </c>
      <c r="H63" s="7">
        <v>8.19</v>
      </c>
      <c r="I63" s="7">
        <v>14215</v>
      </c>
    </row>
    <row r="64" spans="1:9" x14ac:dyDescent="0.25">
      <c r="A64" s="3">
        <v>45586</v>
      </c>
      <c r="B64" s="6" t="s">
        <v>12</v>
      </c>
      <c r="C64" s="7">
        <v>1237</v>
      </c>
      <c r="D64" s="7">
        <v>155</v>
      </c>
      <c r="E64" s="7">
        <v>149916</v>
      </c>
      <c r="F64" s="7">
        <f>Engagement_Summary[[#This Row],[New_Followers]]-Engagement_Summary[[#This Row],[Unfollows]]</f>
        <v>1082</v>
      </c>
      <c r="G64" s="10">
        <f>(Engagement_Summary[[#This Row],[New_Followers]]-Engagement_Summary[[#This Row],[Unfollows]])/Engagement_Summary[[#This Row],[Total_Followers]]</f>
        <v>7.2173750633688196E-3</v>
      </c>
      <c r="H64" s="7">
        <v>4.4800000000000004</v>
      </c>
      <c r="I64" s="7">
        <v>16921</v>
      </c>
    </row>
    <row r="65" spans="1:9" x14ac:dyDescent="0.25">
      <c r="A65" s="3">
        <v>45593</v>
      </c>
      <c r="B65" s="6" t="s">
        <v>11</v>
      </c>
      <c r="C65" s="7">
        <v>1435</v>
      </c>
      <c r="D65" s="7">
        <v>261</v>
      </c>
      <c r="E65" s="7">
        <v>308533</v>
      </c>
      <c r="F65" s="7">
        <f>Engagement_Summary[[#This Row],[New_Followers]]-Engagement_Summary[[#This Row],[Unfollows]]</f>
        <v>1174</v>
      </c>
      <c r="G65" s="10">
        <f>(Engagement_Summary[[#This Row],[New_Followers]]-Engagement_Summary[[#This Row],[Unfollows]])/Engagement_Summary[[#This Row],[Total_Followers]]</f>
        <v>3.8051035059458792E-3</v>
      </c>
      <c r="H65" s="7">
        <v>4.5199999999999996</v>
      </c>
      <c r="I65" s="7">
        <v>25130</v>
      </c>
    </row>
    <row r="66" spans="1:9" x14ac:dyDescent="0.25">
      <c r="A66" s="3">
        <v>45593</v>
      </c>
      <c r="B66" s="6" t="s">
        <v>17</v>
      </c>
      <c r="C66" s="7">
        <v>746</v>
      </c>
      <c r="D66" s="7">
        <v>282</v>
      </c>
      <c r="E66" s="7">
        <v>293894</v>
      </c>
      <c r="F66" s="7">
        <f>Engagement_Summary[[#This Row],[New_Followers]]-Engagement_Summary[[#This Row],[Unfollows]]</f>
        <v>464</v>
      </c>
      <c r="G66" s="10">
        <f>(Engagement_Summary[[#This Row],[New_Followers]]-Engagement_Summary[[#This Row],[Unfollows]])/Engagement_Summary[[#This Row],[Total_Followers]]</f>
        <v>1.5788005199153436E-3</v>
      </c>
      <c r="H66" s="7">
        <v>5.42</v>
      </c>
      <c r="I66" s="7">
        <v>25537</v>
      </c>
    </row>
    <row r="67" spans="1:9" x14ac:dyDescent="0.25">
      <c r="A67" s="3">
        <v>45593</v>
      </c>
      <c r="B67" s="6" t="s">
        <v>12</v>
      </c>
      <c r="C67" s="7">
        <v>759</v>
      </c>
      <c r="D67" s="7">
        <v>216</v>
      </c>
      <c r="E67" s="7">
        <v>147656</v>
      </c>
      <c r="F67" s="7">
        <f>Engagement_Summary[[#This Row],[New_Followers]]-Engagement_Summary[[#This Row],[Unfollows]]</f>
        <v>543</v>
      </c>
      <c r="G67" s="10">
        <f>(Engagement_Summary[[#This Row],[New_Followers]]-Engagement_Summary[[#This Row],[Unfollows]])/Engagement_Summary[[#This Row],[Total_Followers]]</f>
        <v>3.6774665438586984E-3</v>
      </c>
      <c r="H67" s="7">
        <v>4.08</v>
      </c>
      <c r="I67" s="7">
        <v>24943</v>
      </c>
    </row>
    <row r="68" spans="1:9" x14ac:dyDescent="0.25">
      <c r="A68" s="3">
        <v>45600</v>
      </c>
      <c r="B68" s="6" t="s">
        <v>11</v>
      </c>
      <c r="C68" s="7">
        <v>1437</v>
      </c>
      <c r="D68" s="7">
        <v>235</v>
      </c>
      <c r="E68" s="7">
        <v>326791</v>
      </c>
      <c r="F68" s="7">
        <f>Engagement_Summary[[#This Row],[New_Followers]]-Engagement_Summary[[#This Row],[Unfollows]]</f>
        <v>1202</v>
      </c>
      <c r="G68" s="10">
        <f>(Engagement_Summary[[#This Row],[New_Followers]]-Engagement_Summary[[#This Row],[Unfollows]])/Engagement_Summary[[#This Row],[Total_Followers]]</f>
        <v>3.6781918718691762E-3</v>
      </c>
      <c r="H68" s="7">
        <v>4.0599999999999996</v>
      </c>
      <c r="I68" s="7">
        <v>14563</v>
      </c>
    </row>
    <row r="69" spans="1:9" x14ac:dyDescent="0.25">
      <c r="A69" s="3">
        <v>45600</v>
      </c>
      <c r="B69" s="6" t="s">
        <v>17</v>
      </c>
      <c r="C69" s="7">
        <v>1463</v>
      </c>
      <c r="D69" s="7">
        <v>73</v>
      </c>
      <c r="E69" s="7">
        <v>348877</v>
      </c>
      <c r="F69" s="7">
        <f>Engagement_Summary[[#This Row],[New_Followers]]-Engagement_Summary[[#This Row],[Unfollows]]</f>
        <v>1390</v>
      </c>
      <c r="G69" s="10">
        <f>(Engagement_Summary[[#This Row],[New_Followers]]-Engagement_Summary[[#This Row],[Unfollows]])/Engagement_Summary[[#This Row],[Total_Followers]]</f>
        <v>3.9842122008616216E-3</v>
      </c>
      <c r="H69" s="7">
        <v>9.91</v>
      </c>
      <c r="I69" s="7">
        <v>26273</v>
      </c>
    </row>
    <row r="70" spans="1:9" x14ac:dyDescent="0.25">
      <c r="A70" s="3">
        <v>45600</v>
      </c>
      <c r="B70" s="6" t="s">
        <v>12</v>
      </c>
      <c r="C70" s="7">
        <v>1208</v>
      </c>
      <c r="D70" s="7">
        <v>224</v>
      </c>
      <c r="E70" s="7">
        <v>122730</v>
      </c>
      <c r="F70" s="7">
        <f>Engagement_Summary[[#This Row],[New_Followers]]-Engagement_Summary[[#This Row],[Unfollows]]</f>
        <v>984</v>
      </c>
      <c r="G70" s="10">
        <f>(Engagement_Summary[[#This Row],[New_Followers]]-Engagement_Summary[[#This Row],[Unfollows]])/Engagement_Summary[[#This Row],[Total_Followers]]</f>
        <v>8.0175996088975802E-3</v>
      </c>
      <c r="H70" s="7">
        <v>8.7200000000000006</v>
      </c>
      <c r="I70" s="7">
        <v>10858</v>
      </c>
    </row>
    <row r="71" spans="1:9" x14ac:dyDescent="0.25">
      <c r="A71" s="3">
        <v>45607</v>
      </c>
      <c r="B71" s="6" t="s">
        <v>11</v>
      </c>
      <c r="C71" s="7">
        <v>1391</v>
      </c>
      <c r="D71" s="7">
        <v>187</v>
      </c>
      <c r="E71" s="7">
        <v>306508</v>
      </c>
      <c r="F71" s="7">
        <f>Engagement_Summary[[#This Row],[New_Followers]]-Engagement_Summary[[#This Row],[Unfollows]]</f>
        <v>1204</v>
      </c>
      <c r="G71" s="10">
        <f>(Engagement_Summary[[#This Row],[New_Followers]]-Engagement_Summary[[#This Row],[Unfollows]])/Engagement_Summary[[#This Row],[Total_Followers]]</f>
        <v>3.9281193313061976E-3</v>
      </c>
      <c r="H71" s="7">
        <v>8.3800000000000008</v>
      </c>
      <c r="I71" s="7">
        <v>25038</v>
      </c>
    </row>
    <row r="72" spans="1:9" x14ac:dyDescent="0.25">
      <c r="A72" s="3">
        <v>45607</v>
      </c>
      <c r="B72" s="6" t="s">
        <v>17</v>
      </c>
      <c r="C72" s="7">
        <v>655</v>
      </c>
      <c r="D72" s="7">
        <v>123</v>
      </c>
      <c r="E72" s="7">
        <v>202472</v>
      </c>
      <c r="F72" s="7">
        <f>Engagement_Summary[[#This Row],[New_Followers]]-Engagement_Summary[[#This Row],[Unfollows]]</f>
        <v>532</v>
      </c>
      <c r="G72" s="10">
        <f>(Engagement_Summary[[#This Row],[New_Followers]]-Engagement_Summary[[#This Row],[Unfollows]])/Engagement_Summary[[#This Row],[Total_Followers]]</f>
        <v>2.6275238057607967E-3</v>
      </c>
      <c r="H72" s="7">
        <v>7.56</v>
      </c>
      <c r="I72" s="7">
        <v>9092</v>
      </c>
    </row>
    <row r="73" spans="1:9" x14ac:dyDescent="0.25">
      <c r="A73" s="3">
        <v>45607</v>
      </c>
      <c r="B73" s="6" t="s">
        <v>12</v>
      </c>
      <c r="C73" s="7">
        <v>1148</v>
      </c>
      <c r="D73" s="7">
        <v>90</v>
      </c>
      <c r="E73" s="7">
        <v>227249</v>
      </c>
      <c r="F73" s="7">
        <f>Engagement_Summary[[#This Row],[New_Followers]]-Engagement_Summary[[#This Row],[Unfollows]]</f>
        <v>1058</v>
      </c>
      <c r="G73" s="10">
        <f>(Engagement_Summary[[#This Row],[New_Followers]]-Engagement_Summary[[#This Row],[Unfollows]])/Engagement_Summary[[#This Row],[Total_Followers]]</f>
        <v>4.6556860536239985E-3</v>
      </c>
      <c r="H73" s="7">
        <v>7.24</v>
      </c>
      <c r="I73" s="7">
        <v>17662</v>
      </c>
    </row>
    <row r="74" spans="1:9" x14ac:dyDescent="0.25">
      <c r="A74" s="3">
        <v>45614</v>
      </c>
      <c r="B74" s="6" t="s">
        <v>11</v>
      </c>
      <c r="C74" s="7">
        <v>946</v>
      </c>
      <c r="D74" s="7">
        <v>270</v>
      </c>
      <c r="E74" s="7">
        <v>246567</v>
      </c>
      <c r="F74" s="7">
        <f>Engagement_Summary[[#This Row],[New_Followers]]-Engagement_Summary[[#This Row],[Unfollows]]</f>
        <v>676</v>
      </c>
      <c r="G74" s="10">
        <f>(Engagement_Summary[[#This Row],[New_Followers]]-Engagement_Summary[[#This Row],[Unfollows]])/Engagement_Summary[[#This Row],[Total_Followers]]</f>
        <v>2.741648314656868E-3</v>
      </c>
      <c r="H74" s="7">
        <v>4.53</v>
      </c>
      <c r="I74" s="7">
        <v>5924</v>
      </c>
    </row>
    <row r="75" spans="1:9" x14ac:dyDescent="0.25">
      <c r="A75" s="3">
        <v>45614</v>
      </c>
      <c r="B75" s="6" t="s">
        <v>17</v>
      </c>
      <c r="C75" s="7">
        <v>791</v>
      </c>
      <c r="D75" s="7">
        <v>214</v>
      </c>
      <c r="E75" s="7">
        <v>114738</v>
      </c>
      <c r="F75" s="7">
        <f>Engagement_Summary[[#This Row],[New_Followers]]-Engagement_Summary[[#This Row],[Unfollows]]</f>
        <v>577</v>
      </c>
      <c r="G75" s="10">
        <f>(Engagement_Summary[[#This Row],[New_Followers]]-Engagement_Summary[[#This Row],[Unfollows]])/Engagement_Summary[[#This Row],[Total_Followers]]</f>
        <v>5.0288483327232481E-3</v>
      </c>
      <c r="H75" s="7">
        <v>6.62</v>
      </c>
      <c r="I75" s="7">
        <v>25347</v>
      </c>
    </row>
    <row r="76" spans="1:9" x14ac:dyDescent="0.25">
      <c r="A76" s="3">
        <v>45614</v>
      </c>
      <c r="B76" s="6" t="s">
        <v>12</v>
      </c>
      <c r="C76" s="7">
        <v>793</v>
      </c>
      <c r="D76" s="7">
        <v>111</v>
      </c>
      <c r="E76" s="7">
        <v>333500</v>
      </c>
      <c r="F76" s="7">
        <f>Engagement_Summary[[#This Row],[New_Followers]]-Engagement_Summary[[#This Row],[Unfollows]]</f>
        <v>682</v>
      </c>
      <c r="G76" s="10">
        <f>(Engagement_Summary[[#This Row],[New_Followers]]-Engagement_Summary[[#This Row],[Unfollows]])/Engagement_Summary[[#This Row],[Total_Followers]]</f>
        <v>2.0449775112443779E-3</v>
      </c>
      <c r="H76" s="7">
        <v>6.36</v>
      </c>
      <c r="I76" s="7">
        <v>8910</v>
      </c>
    </row>
    <row r="77" spans="1:9" x14ac:dyDescent="0.25">
      <c r="A77" s="3">
        <v>45621</v>
      </c>
      <c r="B77" s="6" t="s">
        <v>11</v>
      </c>
      <c r="C77" s="7">
        <v>663</v>
      </c>
      <c r="D77" s="7">
        <v>213</v>
      </c>
      <c r="E77" s="7">
        <v>352677</v>
      </c>
      <c r="F77" s="7">
        <f>Engagement_Summary[[#This Row],[New_Followers]]-Engagement_Summary[[#This Row],[Unfollows]]</f>
        <v>450</v>
      </c>
      <c r="G77" s="10">
        <f>(Engagement_Summary[[#This Row],[New_Followers]]-Engagement_Summary[[#This Row],[Unfollows]])/Engagement_Summary[[#This Row],[Total_Followers]]</f>
        <v>1.2759550523566889E-3</v>
      </c>
      <c r="H77" s="7">
        <v>9</v>
      </c>
      <c r="I77" s="7">
        <v>20438</v>
      </c>
    </row>
    <row r="78" spans="1:9" x14ac:dyDescent="0.25">
      <c r="A78" s="3">
        <v>45621</v>
      </c>
      <c r="B78" s="6" t="s">
        <v>17</v>
      </c>
      <c r="C78" s="7">
        <v>954</v>
      </c>
      <c r="D78" s="7">
        <v>271</v>
      </c>
      <c r="E78" s="7">
        <v>160936</v>
      </c>
      <c r="F78" s="7">
        <f>Engagement_Summary[[#This Row],[New_Followers]]-Engagement_Summary[[#This Row],[Unfollows]]</f>
        <v>683</v>
      </c>
      <c r="G78" s="10">
        <f>(Engagement_Summary[[#This Row],[New_Followers]]-Engagement_Summary[[#This Row],[Unfollows]])/Engagement_Summary[[#This Row],[Total_Followers]]</f>
        <v>4.2439230501565839E-3</v>
      </c>
      <c r="H78" s="7">
        <v>8.83</v>
      </c>
      <c r="I78" s="7">
        <v>8760</v>
      </c>
    </row>
    <row r="79" spans="1:9" x14ac:dyDescent="0.25">
      <c r="A79" s="3">
        <v>45621</v>
      </c>
      <c r="B79" s="6" t="s">
        <v>12</v>
      </c>
      <c r="C79" s="7">
        <v>1313</v>
      </c>
      <c r="D79" s="7">
        <v>159</v>
      </c>
      <c r="E79" s="7">
        <v>197183</v>
      </c>
      <c r="F79" s="7">
        <f>Engagement_Summary[[#This Row],[New_Followers]]-Engagement_Summary[[#This Row],[Unfollows]]</f>
        <v>1154</v>
      </c>
      <c r="G79" s="10">
        <f>(Engagement_Summary[[#This Row],[New_Followers]]-Engagement_Summary[[#This Row],[Unfollows]])/Engagement_Summary[[#This Row],[Total_Followers]]</f>
        <v>5.8524314976443207E-3</v>
      </c>
      <c r="H79" s="7">
        <v>9.7100000000000009</v>
      </c>
      <c r="I79" s="7">
        <v>6625</v>
      </c>
    </row>
    <row r="80" spans="1:9" x14ac:dyDescent="0.25">
      <c r="A80" s="3">
        <v>45628</v>
      </c>
      <c r="B80" s="6" t="s">
        <v>11</v>
      </c>
      <c r="C80" s="7">
        <v>895</v>
      </c>
      <c r="D80" s="7">
        <v>87</v>
      </c>
      <c r="E80" s="7">
        <v>171271</v>
      </c>
      <c r="F80" s="7">
        <f>Engagement_Summary[[#This Row],[New_Followers]]-Engagement_Summary[[#This Row],[Unfollows]]</f>
        <v>808</v>
      </c>
      <c r="G80" s="10">
        <f>(Engagement_Summary[[#This Row],[New_Followers]]-Engagement_Summary[[#This Row],[Unfollows]])/Engagement_Summary[[#This Row],[Total_Followers]]</f>
        <v>4.7176696580273365E-3</v>
      </c>
      <c r="H80" s="7">
        <v>6.68</v>
      </c>
      <c r="I80" s="7">
        <v>23329</v>
      </c>
    </row>
    <row r="81" spans="1:9" x14ac:dyDescent="0.25">
      <c r="A81" s="3">
        <v>45628</v>
      </c>
      <c r="B81" s="6" t="s">
        <v>17</v>
      </c>
      <c r="C81" s="7">
        <v>1027</v>
      </c>
      <c r="D81" s="7">
        <v>156</v>
      </c>
      <c r="E81" s="7">
        <v>111293</v>
      </c>
      <c r="F81" s="7">
        <f>Engagement_Summary[[#This Row],[New_Followers]]-Engagement_Summary[[#This Row],[Unfollows]]</f>
        <v>871</v>
      </c>
      <c r="G81" s="10">
        <f>(Engagement_Summary[[#This Row],[New_Followers]]-Engagement_Summary[[#This Row],[Unfollows]])/Engagement_Summary[[#This Row],[Total_Followers]]</f>
        <v>7.8261885293774095E-3</v>
      </c>
      <c r="H81" s="7">
        <v>5.51</v>
      </c>
      <c r="I81" s="7">
        <v>7299</v>
      </c>
    </row>
    <row r="82" spans="1:9" x14ac:dyDescent="0.25">
      <c r="A82" s="3">
        <v>45628</v>
      </c>
      <c r="B82" s="6" t="s">
        <v>12</v>
      </c>
      <c r="C82" s="7">
        <v>990</v>
      </c>
      <c r="D82" s="7">
        <v>286</v>
      </c>
      <c r="E82" s="7">
        <v>351493</v>
      </c>
      <c r="F82" s="7">
        <f>Engagement_Summary[[#This Row],[New_Followers]]-Engagement_Summary[[#This Row],[Unfollows]]</f>
        <v>704</v>
      </c>
      <c r="G82" s="10">
        <f>(Engagement_Summary[[#This Row],[New_Followers]]-Engagement_Summary[[#This Row],[Unfollows]])/Engagement_Summary[[#This Row],[Total_Followers]]</f>
        <v>2.0028848369668811E-3</v>
      </c>
      <c r="H82" s="7">
        <v>7.97</v>
      </c>
      <c r="I82" s="7">
        <v>14496</v>
      </c>
    </row>
    <row r="83" spans="1:9" x14ac:dyDescent="0.25">
      <c r="A83" s="3">
        <v>45635</v>
      </c>
      <c r="B83" s="6" t="s">
        <v>11</v>
      </c>
      <c r="C83" s="7">
        <v>875</v>
      </c>
      <c r="D83" s="7">
        <v>264</v>
      </c>
      <c r="E83" s="7">
        <v>345631</v>
      </c>
      <c r="F83" s="7">
        <f>Engagement_Summary[[#This Row],[New_Followers]]-Engagement_Summary[[#This Row],[Unfollows]]</f>
        <v>611</v>
      </c>
      <c r="G83" s="10">
        <f>(Engagement_Summary[[#This Row],[New_Followers]]-Engagement_Summary[[#This Row],[Unfollows]])/Engagement_Summary[[#This Row],[Total_Followers]]</f>
        <v>1.7677812464738406E-3</v>
      </c>
      <c r="H83" s="7">
        <v>9.18</v>
      </c>
      <c r="I83" s="7">
        <v>25703</v>
      </c>
    </row>
    <row r="84" spans="1:9" x14ac:dyDescent="0.25">
      <c r="A84" s="3">
        <v>45635</v>
      </c>
      <c r="B84" s="6" t="s">
        <v>17</v>
      </c>
      <c r="C84" s="7">
        <v>599</v>
      </c>
      <c r="D84" s="7">
        <v>194</v>
      </c>
      <c r="E84" s="7">
        <v>105622</v>
      </c>
      <c r="F84" s="7">
        <f>Engagement_Summary[[#This Row],[New_Followers]]-Engagement_Summary[[#This Row],[Unfollows]]</f>
        <v>405</v>
      </c>
      <c r="G84" s="10">
        <f>(Engagement_Summary[[#This Row],[New_Followers]]-Engagement_Summary[[#This Row],[Unfollows]])/Engagement_Summary[[#This Row],[Total_Followers]]</f>
        <v>3.8344284334702996E-3</v>
      </c>
      <c r="H84" s="7">
        <v>6.44</v>
      </c>
      <c r="I84" s="7">
        <v>15108</v>
      </c>
    </row>
    <row r="85" spans="1:9" x14ac:dyDescent="0.25">
      <c r="A85" s="3">
        <v>45635</v>
      </c>
      <c r="B85" s="6" t="s">
        <v>12</v>
      </c>
      <c r="C85" s="7">
        <v>630</v>
      </c>
      <c r="D85" s="7">
        <v>248</v>
      </c>
      <c r="E85" s="7">
        <v>119054</v>
      </c>
      <c r="F85" s="7">
        <f>Engagement_Summary[[#This Row],[New_Followers]]-Engagement_Summary[[#This Row],[Unfollows]]</f>
        <v>382</v>
      </c>
      <c r="G85" s="10">
        <f>(Engagement_Summary[[#This Row],[New_Followers]]-Engagement_Summary[[#This Row],[Unfollows]])/Engagement_Summary[[#This Row],[Total_Followers]]</f>
        <v>3.2086280175382597E-3</v>
      </c>
      <c r="H85" s="7">
        <v>5.0199999999999996</v>
      </c>
      <c r="I85" s="7">
        <v>18867</v>
      </c>
    </row>
    <row r="86" spans="1:9" x14ac:dyDescent="0.25">
      <c r="A86" s="3">
        <v>45642</v>
      </c>
      <c r="B86" s="6" t="s">
        <v>11</v>
      </c>
      <c r="C86" s="7">
        <v>1350</v>
      </c>
      <c r="D86" s="7">
        <v>233</v>
      </c>
      <c r="E86" s="7">
        <v>171670</v>
      </c>
      <c r="F86" s="7">
        <f>Engagement_Summary[[#This Row],[New_Followers]]-Engagement_Summary[[#This Row],[Unfollows]]</f>
        <v>1117</v>
      </c>
      <c r="G86" s="10">
        <f>(Engagement_Summary[[#This Row],[New_Followers]]-Engagement_Summary[[#This Row],[Unfollows]])/Engagement_Summary[[#This Row],[Total_Followers]]</f>
        <v>6.506669773402458E-3</v>
      </c>
      <c r="H86" s="7">
        <v>4.53</v>
      </c>
      <c r="I86" s="7">
        <v>17574</v>
      </c>
    </row>
    <row r="87" spans="1:9" x14ac:dyDescent="0.25">
      <c r="A87" s="3">
        <v>45642</v>
      </c>
      <c r="B87" s="6" t="s">
        <v>17</v>
      </c>
      <c r="C87" s="7">
        <v>632</v>
      </c>
      <c r="D87" s="7">
        <v>155</v>
      </c>
      <c r="E87" s="7">
        <v>170432</v>
      </c>
      <c r="F87" s="7">
        <f>Engagement_Summary[[#This Row],[New_Followers]]-Engagement_Summary[[#This Row],[Unfollows]]</f>
        <v>477</v>
      </c>
      <c r="G87" s="10">
        <f>(Engagement_Summary[[#This Row],[New_Followers]]-Engagement_Summary[[#This Row],[Unfollows]])/Engagement_Summary[[#This Row],[Total_Followers]]</f>
        <v>2.7987701840030041E-3</v>
      </c>
      <c r="H87" s="7">
        <v>9.17</v>
      </c>
      <c r="I87" s="7">
        <v>12840</v>
      </c>
    </row>
    <row r="88" spans="1:9" x14ac:dyDescent="0.25">
      <c r="A88" s="3">
        <v>45642</v>
      </c>
      <c r="B88" s="6" t="s">
        <v>12</v>
      </c>
      <c r="C88" s="7">
        <v>1182</v>
      </c>
      <c r="D88" s="7">
        <v>83</v>
      </c>
      <c r="E88" s="7">
        <v>140300</v>
      </c>
      <c r="F88" s="7">
        <f>Engagement_Summary[[#This Row],[New_Followers]]-Engagement_Summary[[#This Row],[Unfollows]]</f>
        <v>1099</v>
      </c>
      <c r="G88" s="10">
        <f>(Engagement_Summary[[#This Row],[New_Followers]]-Engagement_Summary[[#This Row],[Unfollows]])/Engagement_Summary[[#This Row],[Total_Followers]]</f>
        <v>7.8332145402708487E-3</v>
      </c>
      <c r="H88" s="7">
        <v>3.27</v>
      </c>
      <c r="I88" s="7">
        <v>21079</v>
      </c>
    </row>
    <row r="89" spans="1:9" x14ac:dyDescent="0.25">
      <c r="A89" s="3">
        <v>45649</v>
      </c>
      <c r="B89" s="6" t="s">
        <v>11</v>
      </c>
      <c r="C89" s="7">
        <v>661</v>
      </c>
      <c r="D89" s="7">
        <v>94</v>
      </c>
      <c r="E89" s="7">
        <v>116538</v>
      </c>
      <c r="F89" s="7">
        <f>Engagement_Summary[[#This Row],[New_Followers]]-Engagement_Summary[[#This Row],[Unfollows]]</f>
        <v>567</v>
      </c>
      <c r="G89" s="10">
        <f>(Engagement_Summary[[#This Row],[New_Followers]]-Engagement_Summary[[#This Row],[Unfollows]])/Engagement_Summary[[#This Row],[Total_Followers]]</f>
        <v>4.8653658034289241E-3</v>
      </c>
      <c r="H89" s="7">
        <v>5.31</v>
      </c>
      <c r="I89" s="7">
        <v>23486</v>
      </c>
    </row>
    <row r="90" spans="1:9" x14ac:dyDescent="0.25">
      <c r="A90" s="3">
        <v>45649</v>
      </c>
      <c r="B90" s="6" t="s">
        <v>17</v>
      </c>
      <c r="C90" s="7">
        <v>1360</v>
      </c>
      <c r="D90" s="7">
        <v>227</v>
      </c>
      <c r="E90" s="7">
        <v>176902</v>
      </c>
      <c r="F90" s="7">
        <f>Engagement_Summary[[#This Row],[New_Followers]]-Engagement_Summary[[#This Row],[Unfollows]]</f>
        <v>1133</v>
      </c>
      <c r="G90" s="10">
        <f>(Engagement_Summary[[#This Row],[New_Followers]]-Engagement_Summary[[#This Row],[Unfollows]])/Engagement_Summary[[#This Row],[Total_Followers]]</f>
        <v>6.4046760353189906E-3</v>
      </c>
      <c r="H90" s="7">
        <v>6.03</v>
      </c>
      <c r="I90" s="7">
        <v>5960</v>
      </c>
    </row>
    <row r="91" spans="1:9" x14ac:dyDescent="0.25">
      <c r="A91" s="3">
        <v>45649</v>
      </c>
      <c r="B91" s="6" t="s">
        <v>12</v>
      </c>
      <c r="C91" s="7">
        <v>935</v>
      </c>
      <c r="D91" s="7">
        <v>85</v>
      </c>
      <c r="E91" s="7">
        <v>326821</v>
      </c>
      <c r="F91" s="7">
        <f>Engagement_Summary[[#This Row],[New_Followers]]-Engagement_Summary[[#This Row],[Unfollows]]</f>
        <v>850</v>
      </c>
      <c r="G91" s="10">
        <f>(Engagement_Summary[[#This Row],[New_Followers]]-Engagement_Summary[[#This Row],[Unfollows]])/Engagement_Summary[[#This Row],[Total_Followers]]</f>
        <v>2.60081206532016E-3</v>
      </c>
      <c r="H91" s="7">
        <v>8.89</v>
      </c>
      <c r="I91" s="7">
        <v>13301</v>
      </c>
    </row>
    <row r="92" spans="1:9" x14ac:dyDescent="0.25">
      <c r="A92" s="3">
        <v>45656</v>
      </c>
      <c r="B92" s="6" t="s">
        <v>11</v>
      </c>
      <c r="C92" s="7">
        <v>664</v>
      </c>
      <c r="D92" s="7">
        <v>251</v>
      </c>
      <c r="E92" s="7">
        <v>240598</v>
      </c>
      <c r="F92" s="7">
        <f>Engagement_Summary[[#This Row],[New_Followers]]-Engagement_Summary[[#This Row],[Unfollows]]</f>
        <v>413</v>
      </c>
      <c r="G92" s="10">
        <f>(Engagement_Summary[[#This Row],[New_Followers]]-Engagement_Summary[[#This Row],[Unfollows]])/Engagement_Summary[[#This Row],[Total_Followers]]</f>
        <v>1.7165562473503519E-3</v>
      </c>
      <c r="H92" s="7">
        <v>4.79</v>
      </c>
      <c r="I92" s="7">
        <v>10563</v>
      </c>
    </row>
    <row r="93" spans="1:9" x14ac:dyDescent="0.25">
      <c r="A93" s="3">
        <v>45656</v>
      </c>
      <c r="B93" s="6" t="s">
        <v>17</v>
      </c>
      <c r="C93" s="7">
        <v>1490</v>
      </c>
      <c r="D93" s="7">
        <v>103</v>
      </c>
      <c r="E93" s="7">
        <v>373274</v>
      </c>
      <c r="F93" s="7">
        <f>Engagement_Summary[[#This Row],[New_Followers]]-Engagement_Summary[[#This Row],[Unfollows]]</f>
        <v>1387</v>
      </c>
      <c r="G93" s="10">
        <f>(Engagement_Summary[[#This Row],[New_Followers]]-Engagement_Summary[[#This Row],[Unfollows]])/Engagement_Summary[[#This Row],[Total_Followers]]</f>
        <v>3.7157691133055076E-3</v>
      </c>
      <c r="H93" s="7">
        <v>4.8</v>
      </c>
      <c r="I93" s="7">
        <v>19949</v>
      </c>
    </row>
    <row r="94" spans="1:9" x14ac:dyDescent="0.25">
      <c r="A94" s="3">
        <v>45656</v>
      </c>
      <c r="B94" s="6" t="s">
        <v>12</v>
      </c>
      <c r="C94" s="7">
        <v>601</v>
      </c>
      <c r="D94" s="7">
        <v>64</v>
      </c>
      <c r="E94" s="7">
        <v>123272</v>
      </c>
      <c r="F94" s="7">
        <f>Engagement_Summary[[#This Row],[New_Followers]]-Engagement_Summary[[#This Row],[Unfollows]]</f>
        <v>537</v>
      </c>
      <c r="G94" s="10">
        <f>(Engagement_Summary[[#This Row],[New_Followers]]-Engagement_Summary[[#This Row],[Unfollows]])/Engagement_Summary[[#This Row],[Total_Followers]]</f>
        <v>4.3562203906807708E-3</v>
      </c>
      <c r="H94" s="7">
        <v>4.07</v>
      </c>
      <c r="I94" s="7">
        <v>14273</v>
      </c>
    </row>
    <row r="95" spans="1:9" x14ac:dyDescent="0.25">
      <c r="A95" s="3">
        <v>45663</v>
      </c>
      <c r="B95" s="6" t="s">
        <v>11</v>
      </c>
      <c r="C95" s="7">
        <v>613</v>
      </c>
      <c r="D95" s="7">
        <v>170</v>
      </c>
      <c r="E95" s="7">
        <v>139266</v>
      </c>
      <c r="F95" s="7">
        <f>Engagement_Summary[[#This Row],[New_Followers]]-Engagement_Summary[[#This Row],[Unfollows]]</f>
        <v>443</v>
      </c>
      <c r="G95" s="10">
        <f>(Engagement_Summary[[#This Row],[New_Followers]]-Engagement_Summary[[#This Row],[Unfollows]])/Engagement_Summary[[#This Row],[Total_Followers]]</f>
        <v>3.1809630491290049E-3</v>
      </c>
      <c r="H95" s="7">
        <v>6.06</v>
      </c>
      <c r="I95" s="7">
        <v>9247</v>
      </c>
    </row>
    <row r="96" spans="1:9" x14ac:dyDescent="0.25">
      <c r="A96" s="3">
        <v>45663</v>
      </c>
      <c r="B96" s="6" t="s">
        <v>17</v>
      </c>
      <c r="C96" s="7">
        <v>1340</v>
      </c>
      <c r="D96" s="7">
        <v>57</v>
      </c>
      <c r="E96" s="7">
        <v>155927</v>
      </c>
      <c r="F96" s="7">
        <f>Engagement_Summary[[#This Row],[New_Followers]]-Engagement_Summary[[#This Row],[Unfollows]]</f>
        <v>1283</v>
      </c>
      <c r="G96" s="10">
        <f>(Engagement_Summary[[#This Row],[New_Followers]]-Engagement_Summary[[#This Row],[Unfollows]])/Engagement_Summary[[#This Row],[Total_Followers]]</f>
        <v>8.2282093543773697E-3</v>
      </c>
      <c r="H96" s="7">
        <v>7.79</v>
      </c>
      <c r="I96" s="7">
        <v>11972</v>
      </c>
    </row>
    <row r="97" spans="1:9" x14ac:dyDescent="0.25">
      <c r="A97" s="3">
        <v>45663</v>
      </c>
      <c r="B97" s="6" t="s">
        <v>12</v>
      </c>
      <c r="C97" s="7">
        <v>953</v>
      </c>
      <c r="D97" s="7">
        <v>228</v>
      </c>
      <c r="E97" s="7">
        <v>258398</v>
      </c>
      <c r="F97" s="7">
        <f>Engagement_Summary[[#This Row],[New_Followers]]-Engagement_Summary[[#This Row],[Unfollows]]</f>
        <v>725</v>
      </c>
      <c r="G97" s="10">
        <f>(Engagement_Summary[[#This Row],[New_Followers]]-Engagement_Summary[[#This Row],[Unfollows]])/Engagement_Summary[[#This Row],[Total_Followers]]</f>
        <v>2.8057492705051896E-3</v>
      </c>
      <c r="H97" s="7">
        <v>9.0500000000000007</v>
      </c>
      <c r="I97" s="7">
        <v>13314</v>
      </c>
    </row>
    <row r="98" spans="1:9" x14ac:dyDescent="0.25">
      <c r="A98" s="3">
        <v>45670</v>
      </c>
      <c r="B98" s="6" t="s">
        <v>11</v>
      </c>
      <c r="C98" s="7">
        <v>532</v>
      </c>
      <c r="D98" s="7">
        <v>65</v>
      </c>
      <c r="E98" s="7">
        <v>338561</v>
      </c>
      <c r="F98" s="7">
        <f>Engagement_Summary[[#This Row],[New_Followers]]-Engagement_Summary[[#This Row],[Unfollows]]</f>
        <v>467</v>
      </c>
      <c r="G98" s="10">
        <f>(Engagement_Summary[[#This Row],[New_Followers]]-Engagement_Summary[[#This Row],[Unfollows]])/Engagement_Summary[[#This Row],[Total_Followers]]</f>
        <v>1.3793673813581599E-3</v>
      </c>
      <c r="H98" s="7">
        <v>3.5</v>
      </c>
      <c r="I98" s="7">
        <v>14749</v>
      </c>
    </row>
    <row r="99" spans="1:9" x14ac:dyDescent="0.25">
      <c r="A99" s="3">
        <v>45670</v>
      </c>
      <c r="B99" s="6" t="s">
        <v>17</v>
      </c>
      <c r="C99" s="7">
        <v>1414</v>
      </c>
      <c r="D99" s="7">
        <v>60</v>
      </c>
      <c r="E99" s="7">
        <v>341856</v>
      </c>
      <c r="F99" s="7">
        <f>Engagement_Summary[[#This Row],[New_Followers]]-Engagement_Summary[[#This Row],[Unfollows]]</f>
        <v>1354</v>
      </c>
      <c r="G99" s="10">
        <f>(Engagement_Summary[[#This Row],[New_Followers]]-Engagement_Summary[[#This Row],[Unfollows]])/Engagement_Summary[[#This Row],[Total_Followers]]</f>
        <v>3.960732004118693E-3</v>
      </c>
      <c r="H99" s="7">
        <v>8.76</v>
      </c>
      <c r="I99" s="7">
        <v>6868</v>
      </c>
    </row>
    <row r="100" spans="1:9" x14ac:dyDescent="0.25">
      <c r="A100" s="3">
        <v>45670</v>
      </c>
      <c r="B100" s="6" t="s">
        <v>12</v>
      </c>
      <c r="C100" s="7">
        <v>685</v>
      </c>
      <c r="D100" s="7">
        <v>165</v>
      </c>
      <c r="E100" s="7">
        <v>175860</v>
      </c>
      <c r="F100" s="7">
        <f>Engagement_Summary[[#This Row],[New_Followers]]-Engagement_Summary[[#This Row],[Unfollows]]</f>
        <v>520</v>
      </c>
      <c r="G100" s="10">
        <f>(Engagement_Summary[[#This Row],[New_Followers]]-Engagement_Summary[[#This Row],[Unfollows]])/Engagement_Summary[[#This Row],[Total_Followers]]</f>
        <v>2.9568975321278288E-3</v>
      </c>
      <c r="H100" s="7">
        <v>6.26</v>
      </c>
      <c r="I100" s="7">
        <v>6027</v>
      </c>
    </row>
    <row r="101" spans="1:9" x14ac:dyDescent="0.25">
      <c r="A101" s="3">
        <v>45677</v>
      </c>
      <c r="B101" s="6" t="s">
        <v>11</v>
      </c>
      <c r="C101" s="7">
        <v>601</v>
      </c>
      <c r="D101" s="7">
        <v>159</v>
      </c>
      <c r="E101" s="7">
        <v>327722</v>
      </c>
      <c r="F101" s="7">
        <f>Engagement_Summary[[#This Row],[New_Followers]]-Engagement_Summary[[#This Row],[Unfollows]]</f>
        <v>442</v>
      </c>
      <c r="G101" s="10">
        <f>(Engagement_Summary[[#This Row],[New_Followers]]-Engagement_Summary[[#This Row],[Unfollows]])/Engagement_Summary[[#This Row],[Total_Followers]]</f>
        <v>1.3487040845594743E-3</v>
      </c>
      <c r="H101" s="7">
        <v>3.33</v>
      </c>
      <c r="I101" s="7">
        <v>25267</v>
      </c>
    </row>
    <row r="102" spans="1:9" x14ac:dyDescent="0.25">
      <c r="A102" s="3">
        <v>45677</v>
      </c>
      <c r="B102" s="6" t="s">
        <v>17</v>
      </c>
      <c r="C102" s="7">
        <v>841</v>
      </c>
      <c r="D102" s="7">
        <v>295</v>
      </c>
      <c r="E102" s="7">
        <v>271638</v>
      </c>
      <c r="F102" s="7">
        <f>Engagement_Summary[[#This Row],[New_Followers]]-Engagement_Summary[[#This Row],[Unfollows]]</f>
        <v>546</v>
      </c>
      <c r="G102" s="10">
        <f>(Engagement_Summary[[#This Row],[New_Followers]]-Engagement_Summary[[#This Row],[Unfollows]])/Engagement_Summary[[#This Row],[Total_Followers]]</f>
        <v>2.0100280520398473E-3</v>
      </c>
      <c r="H102" s="7">
        <v>9.15</v>
      </c>
      <c r="I102" s="7">
        <v>5900</v>
      </c>
    </row>
    <row r="103" spans="1:9" x14ac:dyDescent="0.25">
      <c r="A103" s="3">
        <v>45677</v>
      </c>
      <c r="B103" s="6" t="s">
        <v>12</v>
      </c>
      <c r="C103" s="7">
        <v>1105</v>
      </c>
      <c r="D103" s="7">
        <v>261</v>
      </c>
      <c r="E103" s="7">
        <v>333851</v>
      </c>
      <c r="F103" s="7">
        <f>Engagement_Summary[[#This Row],[New_Followers]]-Engagement_Summary[[#This Row],[Unfollows]]</f>
        <v>844</v>
      </c>
      <c r="G103" s="10">
        <f>(Engagement_Summary[[#This Row],[New_Followers]]-Engagement_Summary[[#This Row],[Unfollows]])/Engagement_Summary[[#This Row],[Total_Followers]]</f>
        <v>2.5280739012313877E-3</v>
      </c>
      <c r="H103" s="7">
        <v>6.03</v>
      </c>
      <c r="I103" s="7">
        <v>11181</v>
      </c>
    </row>
    <row r="104" spans="1:9" x14ac:dyDescent="0.25">
      <c r="A104" s="3">
        <v>45684</v>
      </c>
      <c r="B104" s="6" t="s">
        <v>11</v>
      </c>
      <c r="C104" s="7">
        <v>566</v>
      </c>
      <c r="D104" s="7">
        <v>225</v>
      </c>
      <c r="E104" s="7">
        <v>368984</v>
      </c>
      <c r="F104" s="7">
        <f>Engagement_Summary[[#This Row],[New_Followers]]-Engagement_Summary[[#This Row],[Unfollows]]</f>
        <v>341</v>
      </c>
      <c r="G104" s="10">
        <f>(Engagement_Summary[[#This Row],[New_Followers]]-Engagement_Summary[[#This Row],[Unfollows]])/Engagement_Summary[[#This Row],[Total_Followers]]</f>
        <v>9.2415931314094918E-4</v>
      </c>
      <c r="H104" s="7">
        <v>9.82</v>
      </c>
      <c r="I104" s="7">
        <v>9592</v>
      </c>
    </row>
    <row r="105" spans="1:9" x14ac:dyDescent="0.25">
      <c r="A105" s="3">
        <v>45684</v>
      </c>
      <c r="B105" s="6" t="s">
        <v>17</v>
      </c>
      <c r="C105" s="7">
        <v>1149</v>
      </c>
      <c r="D105" s="7">
        <v>280</v>
      </c>
      <c r="E105" s="7">
        <v>167310</v>
      </c>
      <c r="F105" s="7">
        <f>Engagement_Summary[[#This Row],[New_Followers]]-Engagement_Summary[[#This Row],[Unfollows]]</f>
        <v>869</v>
      </c>
      <c r="G105" s="10">
        <f>(Engagement_Summary[[#This Row],[New_Followers]]-Engagement_Summary[[#This Row],[Unfollows]])/Engagement_Summary[[#This Row],[Total_Followers]]</f>
        <v>5.1939513477975013E-3</v>
      </c>
      <c r="H105" s="7">
        <v>3.7</v>
      </c>
      <c r="I105" s="7">
        <v>5291</v>
      </c>
    </row>
    <row r="106" spans="1:9" x14ac:dyDescent="0.25">
      <c r="A106" s="3">
        <v>45684</v>
      </c>
      <c r="B106" s="6" t="s">
        <v>12</v>
      </c>
      <c r="C106" s="7">
        <v>819</v>
      </c>
      <c r="D106" s="7">
        <v>101</v>
      </c>
      <c r="E106" s="7">
        <v>194811</v>
      </c>
      <c r="F106" s="7">
        <f>Engagement_Summary[[#This Row],[New_Followers]]-Engagement_Summary[[#This Row],[Unfollows]]</f>
        <v>718</v>
      </c>
      <c r="G106" s="10">
        <f>(Engagement_Summary[[#This Row],[New_Followers]]-Engagement_Summary[[#This Row],[Unfollows]])/Engagement_Summary[[#This Row],[Total_Followers]]</f>
        <v>3.685623501752981E-3</v>
      </c>
      <c r="H106" s="7">
        <v>3.35</v>
      </c>
      <c r="I106" s="7">
        <v>22244</v>
      </c>
    </row>
    <row r="107" spans="1:9" x14ac:dyDescent="0.25">
      <c r="A107" s="3">
        <v>45691</v>
      </c>
      <c r="B107" s="6" t="s">
        <v>11</v>
      </c>
      <c r="C107" s="7">
        <v>795</v>
      </c>
      <c r="D107" s="7">
        <v>60</v>
      </c>
      <c r="E107" s="7">
        <v>314982</v>
      </c>
      <c r="F107" s="7">
        <f>Engagement_Summary[[#This Row],[New_Followers]]-Engagement_Summary[[#This Row],[Unfollows]]</f>
        <v>735</v>
      </c>
      <c r="G107" s="10">
        <f>(Engagement_Summary[[#This Row],[New_Followers]]-Engagement_Summary[[#This Row],[Unfollows]])/Engagement_Summary[[#This Row],[Total_Followers]]</f>
        <v>2.3334666742861497E-3</v>
      </c>
      <c r="H107" s="7">
        <v>7.31</v>
      </c>
      <c r="I107" s="7">
        <v>6824</v>
      </c>
    </row>
    <row r="108" spans="1:9" x14ac:dyDescent="0.25">
      <c r="A108" s="3">
        <v>45691</v>
      </c>
      <c r="B108" s="6" t="s">
        <v>17</v>
      </c>
      <c r="C108" s="7">
        <v>681</v>
      </c>
      <c r="D108" s="7">
        <v>158</v>
      </c>
      <c r="E108" s="7">
        <v>75960</v>
      </c>
      <c r="F108" s="7">
        <f>Engagement_Summary[[#This Row],[New_Followers]]-Engagement_Summary[[#This Row],[Unfollows]]</f>
        <v>523</v>
      </c>
      <c r="G108" s="10">
        <f>(Engagement_Summary[[#This Row],[New_Followers]]-Engagement_Summary[[#This Row],[Unfollows]])/Engagement_Summary[[#This Row],[Total_Followers]]</f>
        <v>6.8852027382833069E-3</v>
      </c>
      <c r="H108" s="7">
        <v>3.13</v>
      </c>
      <c r="I108" s="7">
        <v>24112</v>
      </c>
    </row>
    <row r="109" spans="1:9" x14ac:dyDescent="0.25">
      <c r="A109" s="3">
        <v>45691</v>
      </c>
      <c r="B109" s="6" t="s">
        <v>12</v>
      </c>
      <c r="C109" s="7">
        <v>534</v>
      </c>
      <c r="D109" s="7">
        <v>112</v>
      </c>
      <c r="E109" s="7">
        <v>360759</v>
      </c>
      <c r="F109" s="7">
        <f>Engagement_Summary[[#This Row],[New_Followers]]-Engagement_Summary[[#This Row],[Unfollows]]</f>
        <v>422</v>
      </c>
      <c r="G109" s="10">
        <f>(Engagement_Summary[[#This Row],[New_Followers]]-Engagement_Summary[[#This Row],[Unfollows]])/Engagement_Summary[[#This Row],[Total_Followers]]</f>
        <v>1.1697559866836308E-3</v>
      </c>
      <c r="H109" s="7">
        <v>4.8899999999999997</v>
      </c>
      <c r="I109" s="7">
        <v>25478</v>
      </c>
    </row>
    <row r="110" spans="1:9" x14ac:dyDescent="0.25">
      <c r="A110" s="3">
        <v>45698</v>
      </c>
      <c r="B110" s="6" t="s">
        <v>11</v>
      </c>
      <c r="C110" s="7">
        <v>1066</v>
      </c>
      <c r="D110" s="7">
        <v>151</v>
      </c>
      <c r="E110" s="7">
        <v>297090</v>
      </c>
      <c r="F110" s="7">
        <f>Engagement_Summary[[#This Row],[New_Followers]]-Engagement_Summary[[#This Row],[Unfollows]]</f>
        <v>915</v>
      </c>
      <c r="G110" s="10">
        <f>(Engagement_Summary[[#This Row],[New_Followers]]-Engagement_Summary[[#This Row],[Unfollows]])/Engagement_Summary[[#This Row],[Total_Followers]]</f>
        <v>3.0798747854185599E-3</v>
      </c>
      <c r="H110" s="7">
        <v>8.6300000000000008</v>
      </c>
      <c r="I110" s="7">
        <v>11235</v>
      </c>
    </row>
    <row r="111" spans="1:9" x14ac:dyDescent="0.25">
      <c r="A111" s="3">
        <v>45698</v>
      </c>
      <c r="B111" s="6" t="s">
        <v>17</v>
      </c>
      <c r="C111" s="7">
        <v>1270</v>
      </c>
      <c r="D111" s="7">
        <v>162</v>
      </c>
      <c r="E111" s="7">
        <v>92040</v>
      </c>
      <c r="F111" s="7">
        <f>Engagement_Summary[[#This Row],[New_Followers]]-Engagement_Summary[[#This Row],[Unfollows]]</f>
        <v>1108</v>
      </c>
      <c r="G111" s="10">
        <f>(Engagement_Summary[[#This Row],[New_Followers]]-Engagement_Summary[[#This Row],[Unfollows]])/Engagement_Summary[[#This Row],[Total_Followers]]</f>
        <v>1.2038244241634072E-2</v>
      </c>
      <c r="H111" s="7">
        <v>8.0299999999999994</v>
      </c>
      <c r="I111" s="7">
        <v>6120</v>
      </c>
    </row>
    <row r="112" spans="1:9" x14ac:dyDescent="0.25">
      <c r="A112" s="3">
        <v>45698</v>
      </c>
      <c r="B112" s="6" t="s">
        <v>12</v>
      </c>
      <c r="C112" s="7">
        <v>536</v>
      </c>
      <c r="D112" s="7">
        <v>198</v>
      </c>
      <c r="E112" s="7">
        <v>174610</v>
      </c>
      <c r="F112" s="7">
        <f>Engagement_Summary[[#This Row],[New_Followers]]-Engagement_Summary[[#This Row],[Unfollows]]</f>
        <v>338</v>
      </c>
      <c r="G112" s="10">
        <f>(Engagement_Summary[[#This Row],[New_Followers]]-Engagement_Summary[[#This Row],[Unfollows]])/Engagement_Summary[[#This Row],[Total_Followers]]</f>
        <v>1.9357425118836263E-3</v>
      </c>
      <c r="H112" s="7">
        <v>7.85</v>
      </c>
      <c r="I112" s="7">
        <v>20572</v>
      </c>
    </row>
    <row r="113" spans="1:9" x14ac:dyDescent="0.25">
      <c r="A113" s="3">
        <v>45705</v>
      </c>
      <c r="B113" s="6" t="s">
        <v>11</v>
      </c>
      <c r="C113" s="7">
        <v>819</v>
      </c>
      <c r="D113" s="7">
        <v>95</v>
      </c>
      <c r="E113" s="7">
        <v>177376</v>
      </c>
      <c r="F113" s="7">
        <f>Engagement_Summary[[#This Row],[New_Followers]]-Engagement_Summary[[#This Row],[Unfollows]]</f>
        <v>724</v>
      </c>
      <c r="G113" s="10">
        <f>(Engagement_Summary[[#This Row],[New_Followers]]-Engagement_Summary[[#This Row],[Unfollows]])/Engagement_Summary[[#This Row],[Total_Followers]]</f>
        <v>4.0817246978170664E-3</v>
      </c>
      <c r="H113" s="7">
        <v>6.12</v>
      </c>
      <c r="I113" s="7">
        <v>14975</v>
      </c>
    </row>
    <row r="114" spans="1:9" x14ac:dyDescent="0.25">
      <c r="A114" s="3">
        <v>45705</v>
      </c>
      <c r="B114" s="6" t="s">
        <v>17</v>
      </c>
      <c r="C114" s="7">
        <v>681</v>
      </c>
      <c r="D114" s="7">
        <v>218</v>
      </c>
      <c r="E114" s="7">
        <v>198882</v>
      </c>
      <c r="F114" s="7">
        <f>Engagement_Summary[[#This Row],[New_Followers]]-Engagement_Summary[[#This Row],[Unfollows]]</f>
        <v>463</v>
      </c>
      <c r="G114" s="10">
        <f>(Engagement_Summary[[#This Row],[New_Followers]]-Engagement_Summary[[#This Row],[Unfollows]])/Engagement_Summary[[#This Row],[Total_Followers]]</f>
        <v>2.3280135960016494E-3</v>
      </c>
      <c r="H114" s="7">
        <v>7.16</v>
      </c>
      <c r="I114" s="7">
        <v>22234</v>
      </c>
    </row>
    <row r="115" spans="1:9" x14ac:dyDescent="0.25">
      <c r="A115" s="3">
        <v>45705</v>
      </c>
      <c r="B115" s="6" t="s">
        <v>12</v>
      </c>
      <c r="C115" s="7">
        <v>646</v>
      </c>
      <c r="D115" s="7">
        <v>290</v>
      </c>
      <c r="E115" s="7">
        <v>336383</v>
      </c>
      <c r="F115" s="7">
        <f>Engagement_Summary[[#This Row],[New_Followers]]-Engagement_Summary[[#This Row],[Unfollows]]</f>
        <v>356</v>
      </c>
      <c r="G115" s="10">
        <f>(Engagement_Summary[[#This Row],[New_Followers]]-Engagement_Summary[[#This Row],[Unfollows]])/Engagement_Summary[[#This Row],[Total_Followers]]</f>
        <v>1.0583174536168594E-3</v>
      </c>
      <c r="H115" s="7">
        <v>7.04</v>
      </c>
      <c r="I115" s="7">
        <v>6532</v>
      </c>
    </row>
    <row r="116" spans="1:9" x14ac:dyDescent="0.25">
      <c r="A116" s="3">
        <v>45712</v>
      </c>
      <c r="B116" s="6" t="s">
        <v>11</v>
      </c>
      <c r="C116" s="7">
        <v>645</v>
      </c>
      <c r="D116" s="7">
        <v>267</v>
      </c>
      <c r="E116" s="7">
        <v>346890</v>
      </c>
      <c r="F116" s="7">
        <f>Engagement_Summary[[#This Row],[New_Followers]]-Engagement_Summary[[#This Row],[Unfollows]]</f>
        <v>378</v>
      </c>
      <c r="G116" s="10">
        <f>(Engagement_Summary[[#This Row],[New_Followers]]-Engagement_Summary[[#This Row],[Unfollows]])/Engagement_Summary[[#This Row],[Total_Followers]]</f>
        <v>1.0896826083196401E-3</v>
      </c>
      <c r="H116" s="7">
        <v>3.71</v>
      </c>
      <c r="I116" s="7">
        <v>24858</v>
      </c>
    </row>
    <row r="117" spans="1:9" x14ac:dyDescent="0.25">
      <c r="A117" s="3">
        <v>45712</v>
      </c>
      <c r="B117" s="6" t="s">
        <v>17</v>
      </c>
      <c r="C117" s="7">
        <v>886</v>
      </c>
      <c r="D117" s="7">
        <v>250</v>
      </c>
      <c r="E117" s="7">
        <v>168170</v>
      </c>
      <c r="F117" s="7">
        <f>Engagement_Summary[[#This Row],[New_Followers]]-Engagement_Summary[[#This Row],[Unfollows]]</f>
        <v>636</v>
      </c>
      <c r="G117" s="10">
        <f>(Engagement_Summary[[#This Row],[New_Followers]]-Engagement_Summary[[#This Row],[Unfollows]])/Engagement_Summary[[#This Row],[Total_Followers]]</f>
        <v>3.7818873758696555E-3</v>
      </c>
      <c r="H117" s="7">
        <v>4.12</v>
      </c>
      <c r="I117" s="7">
        <v>13883</v>
      </c>
    </row>
    <row r="118" spans="1:9" x14ac:dyDescent="0.25">
      <c r="A118" s="3">
        <v>45712</v>
      </c>
      <c r="B118" s="6" t="s">
        <v>12</v>
      </c>
      <c r="C118" s="7">
        <v>978</v>
      </c>
      <c r="D118" s="7">
        <v>279</v>
      </c>
      <c r="E118" s="7">
        <v>368872</v>
      </c>
      <c r="F118" s="7">
        <f>Engagement_Summary[[#This Row],[New_Followers]]-Engagement_Summary[[#This Row],[Unfollows]]</f>
        <v>699</v>
      </c>
      <c r="G118" s="10">
        <f>(Engagement_Summary[[#This Row],[New_Followers]]-Engagement_Summary[[#This Row],[Unfollows]])/Engagement_Summary[[#This Row],[Total_Followers]]</f>
        <v>1.8949662755644234E-3</v>
      </c>
      <c r="H118" s="7">
        <v>6.82</v>
      </c>
      <c r="I118" s="7">
        <v>18654</v>
      </c>
    </row>
    <row r="119" spans="1:9" x14ac:dyDescent="0.25">
      <c r="A119" s="3">
        <v>45719</v>
      </c>
      <c r="B119" s="6" t="s">
        <v>11</v>
      </c>
      <c r="C119" s="7">
        <v>1444</v>
      </c>
      <c r="D119" s="7">
        <v>165</v>
      </c>
      <c r="E119" s="7">
        <v>116436</v>
      </c>
      <c r="F119" s="7">
        <f>Engagement_Summary[[#This Row],[New_Followers]]-Engagement_Summary[[#This Row],[Unfollows]]</f>
        <v>1279</v>
      </c>
      <c r="G119" s="10">
        <f>(Engagement_Summary[[#This Row],[New_Followers]]-Engagement_Summary[[#This Row],[Unfollows]])/Engagement_Summary[[#This Row],[Total_Followers]]</f>
        <v>1.0984575217286749E-2</v>
      </c>
      <c r="H119" s="7">
        <v>8.2200000000000006</v>
      </c>
      <c r="I119" s="7">
        <v>25234</v>
      </c>
    </row>
    <row r="120" spans="1:9" x14ac:dyDescent="0.25">
      <c r="A120" s="3">
        <v>45719</v>
      </c>
      <c r="B120" s="6" t="s">
        <v>17</v>
      </c>
      <c r="C120" s="7">
        <v>1234</v>
      </c>
      <c r="D120" s="7">
        <v>228</v>
      </c>
      <c r="E120" s="7">
        <v>127502</v>
      </c>
      <c r="F120" s="7">
        <f>Engagement_Summary[[#This Row],[New_Followers]]-Engagement_Summary[[#This Row],[Unfollows]]</f>
        <v>1006</v>
      </c>
      <c r="G120" s="10">
        <f>(Engagement_Summary[[#This Row],[New_Followers]]-Engagement_Summary[[#This Row],[Unfollows]])/Engagement_Summary[[#This Row],[Total_Followers]]</f>
        <v>7.8900723125911749E-3</v>
      </c>
      <c r="H120" s="7">
        <v>7.71</v>
      </c>
      <c r="I120" s="7">
        <v>6772</v>
      </c>
    </row>
    <row r="121" spans="1:9" x14ac:dyDescent="0.25">
      <c r="A121" s="3">
        <v>45719</v>
      </c>
      <c r="B121" s="6" t="s">
        <v>12</v>
      </c>
      <c r="C121" s="7">
        <v>665</v>
      </c>
      <c r="D121" s="7">
        <v>187</v>
      </c>
      <c r="E121" s="7">
        <v>274567</v>
      </c>
      <c r="F121" s="7">
        <f>Engagement_Summary[[#This Row],[New_Followers]]-Engagement_Summary[[#This Row],[Unfollows]]</f>
        <v>478</v>
      </c>
      <c r="G121" s="10">
        <f>(Engagement_Summary[[#This Row],[New_Followers]]-Engagement_Summary[[#This Row],[Unfollows]])/Engagement_Summary[[#This Row],[Total_Followers]]</f>
        <v>1.7409229805475531E-3</v>
      </c>
      <c r="H121" s="7">
        <v>7.39</v>
      </c>
      <c r="I121" s="7">
        <v>22428</v>
      </c>
    </row>
    <row r="122" spans="1:9" x14ac:dyDescent="0.25">
      <c r="A122" s="3">
        <v>45726</v>
      </c>
      <c r="B122" s="6" t="s">
        <v>11</v>
      </c>
      <c r="C122" s="7">
        <v>631</v>
      </c>
      <c r="D122" s="7">
        <v>86</v>
      </c>
      <c r="E122" s="7">
        <v>295090</v>
      </c>
      <c r="F122" s="7">
        <f>Engagement_Summary[[#This Row],[New_Followers]]-Engagement_Summary[[#This Row],[Unfollows]]</f>
        <v>545</v>
      </c>
      <c r="G122" s="10">
        <f>(Engagement_Summary[[#This Row],[New_Followers]]-Engagement_Summary[[#This Row],[Unfollows]])/Engagement_Summary[[#This Row],[Total_Followers]]</f>
        <v>1.8468941678809856E-3</v>
      </c>
      <c r="H122" s="7">
        <v>7.89</v>
      </c>
      <c r="I122" s="7">
        <v>11911</v>
      </c>
    </row>
    <row r="123" spans="1:9" x14ac:dyDescent="0.25">
      <c r="A123" s="3">
        <v>45726</v>
      </c>
      <c r="B123" s="6" t="s">
        <v>17</v>
      </c>
      <c r="C123" s="7">
        <v>1159</v>
      </c>
      <c r="D123" s="7">
        <v>154</v>
      </c>
      <c r="E123" s="7">
        <v>194994</v>
      </c>
      <c r="F123" s="7">
        <f>Engagement_Summary[[#This Row],[New_Followers]]-Engagement_Summary[[#This Row],[Unfollows]]</f>
        <v>1005</v>
      </c>
      <c r="G123" s="10">
        <f>(Engagement_Summary[[#This Row],[New_Followers]]-Engagement_Summary[[#This Row],[Unfollows]])/Engagement_Summary[[#This Row],[Total_Followers]]</f>
        <v>5.1540047386073422E-3</v>
      </c>
      <c r="H123" s="7">
        <v>6.39</v>
      </c>
      <c r="I123" s="7">
        <v>21900</v>
      </c>
    </row>
    <row r="124" spans="1:9" x14ac:dyDescent="0.25">
      <c r="A124" s="3">
        <v>45726</v>
      </c>
      <c r="B124" s="6" t="s">
        <v>12</v>
      </c>
      <c r="C124" s="7">
        <v>950</v>
      </c>
      <c r="D124" s="7">
        <v>185</v>
      </c>
      <c r="E124" s="7">
        <v>340750</v>
      </c>
      <c r="F124" s="7">
        <f>Engagement_Summary[[#This Row],[New_Followers]]-Engagement_Summary[[#This Row],[Unfollows]]</f>
        <v>765</v>
      </c>
      <c r="G124" s="10">
        <f>(Engagement_Summary[[#This Row],[New_Followers]]-Engagement_Summary[[#This Row],[Unfollows]])/Engagement_Summary[[#This Row],[Total_Followers]]</f>
        <v>2.2450476889214967E-3</v>
      </c>
      <c r="H124" s="7">
        <v>6.77</v>
      </c>
      <c r="I124" s="7">
        <v>25542</v>
      </c>
    </row>
    <row r="125" spans="1:9" x14ac:dyDescent="0.25">
      <c r="A125" s="3">
        <v>45733</v>
      </c>
      <c r="B125" s="6" t="s">
        <v>11</v>
      </c>
      <c r="C125" s="7">
        <v>693</v>
      </c>
      <c r="D125" s="7">
        <v>129</v>
      </c>
      <c r="E125" s="7">
        <v>296031</v>
      </c>
      <c r="F125" s="7">
        <f>Engagement_Summary[[#This Row],[New_Followers]]-Engagement_Summary[[#This Row],[Unfollows]]</f>
        <v>564</v>
      </c>
      <c r="G125" s="10">
        <f>(Engagement_Summary[[#This Row],[New_Followers]]-Engagement_Summary[[#This Row],[Unfollows]])/Engagement_Summary[[#This Row],[Total_Followers]]</f>
        <v>1.9052058737091724E-3</v>
      </c>
      <c r="H125" s="7">
        <v>3.41</v>
      </c>
      <c r="I125" s="7">
        <v>7140</v>
      </c>
    </row>
    <row r="126" spans="1:9" x14ac:dyDescent="0.25">
      <c r="A126" s="3">
        <v>45733</v>
      </c>
      <c r="B126" s="6" t="s">
        <v>17</v>
      </c>
      <c r="C126" s="7">
        <v>576</v>
      </c>
      <c r="D126" s="7">
        <v>80</v>
      </c>
      <c r="E126" s="7">
        <v>345688</v>
      </c>
      <c r="F126" s="7">
        <f>Engagement_Summary[[#This Row],[New_Followers]]-Engagement_Summary[[#This Row],[Unfollows]]</f>
        <v>496</v>
      </c>
      <c r="G126" s="10">
        <f>(Engagement_Summary[[#This Row],[New_Followers]]-Engagement_Summary[[#This Row],[Unfollows]])/Engagement_Summary[[#This Row],[Total_Followers]]</f>
        <v>1.4348198375413667E-3</v>
      </c>
      <c r="H126" s="7">
        <v>4.1100000000000003</v>
      </c>
      <c r="I126" s="7">
        <v>20474</v>
      </c>
    </row>
    <row r="127" spans="1:9" x14ac:dyDescent="0.25">
      <c r="A127" s="3">
        <v>45733</v>
      </c>
      <c r="B127" s="6" t="s">
        <v>12</v>
      </c>
      <c r="C127" s="7">
        <v>1274</v>
      </c>
      <c r="D127" s="7">
        <v>146</v>
      </c>
      <c r="E127" s="7">
        <v>263488</v>
      </c>
      <c r="F127" s="7">
        <f>Engagement_Summary[[#This Row],[New_Followers]]-Engagement_Summary[[#This Row],[Unfollows]]</f>
        <v>1128</v>
      </c>
      <c r="G127" s="10">
        <f>(Engagement_Summary[[#This Row],[New_Followers]]-Engagement_Summary[[#This Row],[Unfollows]])/Engagement_Summary[[#This Row],[Total_Followers]]</f>
        <v>4.2810298761233904E-3</v>
      </c>
      <c r="H127" s="7">
        <v>9.58</v>
      </c>
      <c r="I127" s="7">
        <v>8698</v>
      </c>
    </row>
    <row r="128" spans="1:9" x14ac:dyDescent="0.25">
      <c r="A128" s="3">
        <v>45740</v>
      </c>
      <c r="B128" s="6" t="s">
        <v>11</v>
      </c>
      <c r="C128" s="7">
        <v>818</v>
      </c>
      <c r="D128" s="7">
        <v>253</v>
      </c>
      <c r="E128" s="7">
        <v>184911</v>
      </c>
      <c r="F128" s="7">
        <f>Engagement_Summary[[#This Row],[New_Followers]]-Engagement_Summary[[#This Row],[Unfollows]]</f>
        <v>565</v>
      </c>
      <c r="G128" s="10">
        <f>(Engagement_Summary[[#This Row],[New_Followers]]-Engagement_Summary[[#This Row],[Unfollows]])/Engagement_Summary[[#This Row],[Total_Followers]]</f>
        <v>3.0555240088474996E-3</v>
      </c>
      <c r="H128" s="7">
        <v>3.39</v>
      </c>
      <c r="I128" s="7">
        <v>10402</v>
      </c>
    </row>
    <row r="129" spans="1:9" x14ac:dyDescent="0.25">
      <c r="A129" s="3">
        <v>45740</v>
      </c>
      <c r="B129" s="6" t="s">
        <v>17</v>
      </c>
      <c r="C129" s="7">
        <v>975</v>
      </c>
      <c r="D129" s="7">
        <v>162</v>
      </c>
      <c r="E129" s="7">
        <v>124497</v>
      </c>
      <c r="F129" s="7">
        <f>Engagement_Summary[[#This Row],[New_Followers]]-Engagement_Summary[[#This Row],[Unfollows]]</f>
        <v>813</v>
      </c>
      <c r="G129" s="10">
        <f>(Engagement_Summary[[#This Row],[New_Followers]]-Engagement_Summary[[#This Row],[Unfollows]])/Engagement_Summary[[#This Row],[Total_Followers]]</f>
        <v>6.5302778380201933E-3</v>
      </c>
      <c r="H129" s="7">
        <v>9.58</v>
      </c>
      <c r="I129" s="7">
        <v>26618</v>
      </c>
    </row>
    <row r="130" spans="1:9" x14ac:dyDescent="0.25">
      <c r="A130" s="3">
        <v>45740</v>
      </c>
      <c r="B130" s="6" t="s">
        <v>12</v>
      </c>
      <c r="C130" s="7">
        <v>1398</v>
      </c>
      <c r="D130" s="7">
        <v>97</v>
      </c>
      <c r="E130" s="7">
        <v>397607</v>
      </c>
      <c r="F130" s="7">
        <f>Engagement_Summary[[#This Row],[New_Followers]]-Engagement_Summary[[#This Row],[Unfollows]]</f>
        <v>1301</v>
      </c>
      <c r="G130" s="10">
        <f>(Engagement_Summary[[#This Row],[New_Followers]]-Engagement_Summary[[#This Row],[Unfollows]])/Engagement_Summary[[#This Row],[Total_Followers]]</f>
        <v>3.2720751898231166E-3</v>
      </c>
      <c r="H130" s="7">
        <v>5.09</v>
      </c>
      <c r="I130" s="7">
        <v>7975</v>
      </c>
    </row>
    <row r="131" spans="1:9" x14ac:dyDescent="0.25">
      <c r="A131" s="3">
        <v>45747</v>
      </c>
      <c r="B131" s="6" t="s">
        <v>11</v>
      </c>
      <c r="C131" s="7">
        <v>591</v>
      </c>
      <c r="D131" s="7">
        <v>155</v>
      </c>
      <c r="E131" s="7">
        <v>138521</v>
      </c>
      <c r="F131" s="7">
        <f>Engagement_Summary[[#This Row],[New_Followers]]-Engagement_Summary[[#This Row],[Unfollows]]</f>
        <v>436</v>
      </c>
      <c r="G131" s="10">
        <f>(Engagement_Summary[[#This Row],[New_Followers]]-Engagement_Summary[[#This Row],[Unfollows]])/Engagement_Summary[[#This Row],[Total_Followers]]</f>
        <v>3.1475371965261584E-3</v>
      </c>
      <c r="H131" s="7">
        <v>7.85</v>
      </c>
      <c r="I131" s="7">
        <v>19054</v>
      </c>
    </row>
    <row r="132" spans="1:9" x14ac:dyDescent="0.25">
      <c r="A132" s="3">
        <v>45747</v>
      </c>
      <c r="B132" s="6" t="s">
        <v>17</v>
      </c>
      <c r="C132" s="7">
        <v>1232</v>
      </c>
      <c r="D132" s="7">
        <v>254</v>
      </c>
      <c r="E132" s="7">
        <v>107718</v>
      </c>
      <c r="F132" s="7">
        <f>Engagement_Summary[[#This Row],[New_Followers]]-Engagement_Summary[[#This Row],[Unfollows]]</f>
        <v>978</v>
      </c>
      <c r="G132" s="10">
        <f>(Engagement_Summary[[#This Row],[New_Followers]]-Engagement_Summary[[#This Row],[Unfollows]])/Engagement_Summary[[#This Row],[Total_Followers]]</f>
        <v>9.0792625187990864E-3</v>
      </c>
      <c r="H132" s="7">
        <v>9.7100000000000009</v>
      </c>
      <c r="I132" s="7">
        <v>13740</v>
      </c>
    </row>
    <row r="133" spans="1:9" x14ac:dyDescent="0.25">
      <c r="A133" s="3">
        <v>45747</v>
      </c>
      <c r="B133" s="6" t="s">
        <v>12</v>
      </c>
      <c r="C133" s="7">
        <v>1425</v>
      </c>
      <c r="D133" s="7">
        <v>58</v>
      </c>
      <c r="E133" s="7">
        <v>202234</v>
      </c>
      <c r="F133" s="7">
        <f>Engagement_Summary[[#This Row],[New_Followers]]-Engagement_Summary[[#This Row],[Unfollows]]</f>
        <v>1367</v>
      </c>
      <c r="G133" s="10">
        <f>(Engagement_Summary[[#This Row],[New_Followers]]-Engagement_Summary[[#This Row],[Unfollows]])/Engagement_Summary[[#This Row],[Total_Followers]]</f>
        <v>6.7594964249334932E-3</v>
      </c>
      <c r="H133" s="7">
        <v>6.67</v>
      </c>
      <c r="I133" s="7">
        <v>18442</v>
      </c>
    </row>
    <row r="134" spans="1:9" x14ac:dyDescent="0.25">
      <c r="A134" s="3">
        <v>45754</v>
      </c>
      <c r="B134" s="6" t="s">
        <v>11</v>
      </c>
      <c r="C134" s="7">
        <v>1417</v>
      </c>
      <c r="D134" s="7">
        <v>80</v>
      </c>
      <c r="E134" s="7">
        <v>340987</v>
      </c>
      <c r="F134" s="7">
        <f>Engagement_Summary[[#This Row],[New_Followers]]-Engagement_Summary[[#This Row],[Unfollows]]</f>
        <v>1337</v>
      </c>
      <c r="G134" s="10">
        <f>(Engagement_Summary[[#This Row],[New_Followers]]-Engagement_Summary[[#This Row],[Unfollows]])/Engagement_Summary[[#This Row],[Total_Followers]]</f>
        <v>3.9209705941868752E-3</v>
      </c>
      <c r="H134" s="7">
        <v>6.13</v>
      </c>
      <c r="I134" s="7">
        <v>10104</v>
      </c>
    </row>
    <row r="135" spans="1:9" x14ac:dyDescent="0.25">
      <c r="A135" s="3">
        <v>45754</v>
      </c>
      <c r="B135" s="6" t="s">
        <v>17</v>
      </c>
      <c r="C135" s="7">
        <v>1222</v>
      </c>
      <c r="D135" s="7">
        <v>208</v>
      </c>
      <c r="E135" s="7">
        <v>340098</v>
      </c>
      <c r="F135" s="7">
        <f>Engagement_Summary[[#This Row],[New_Followers]]-Engagement_Summary[[#This Row],[Unfollows]]</f>
        <v>1014</v>
      </c>
      <c r="G135" s="10">
        <f>(Engagement_Summary[[#This Row],[New_Followers]]-Engagement_Summary[[#This Row],[Unfollows]])/Engagement_Summary[[#This Row],[Total_Followers]]</f>
        <v>2.9814935695005556E-3</v>
      </c>
      <c r="H135" s="7">
        <v>7.34</v>
      </c>
      <c r="I135" s="7">
        <v>21771</v>
      </c>
    </row>
    <row r="136" spans="1:9" x14ac:dyDescent="0.25">
      <c r="A136" s="3">
        <v>45754</v>
      </c>
      <c r="B136" s="6" t="s">
        <v>12</v>
      </c>
      <c r="C136" s="7">
        <v>1071</v>
      </c>
      <c r="D136" s="7">
        <v>131</v>
      </c>
      <c r="E136" s="7">
        <v>254727</v>
      </c>
      <c r="F136" s="7">
        <f>Engagement_Summary[[#This Row],[New_Followers]]-Engagement_Summary[[#This Row],[Unfollows]]</f>
        <v>940</v>
      </c>
      <c r="G136" s="10">
        <f>(Engagement_Summary[[#This Row],[New_Followers]]-Engagement_Summary[[#This Row],[Unfollows]])/Engagement_Summary[[#This Row],[Total_Followers]]</f>
        <v>3.6902252215116576E-3</v>
      </c>
      <c r="H136" s="7">
        <v>6.87</v>
      </c>
      <c r="I136" s="7">
        <v>22191</v>
      </c>
    </row>
    <row r="137" spans="1:9" x14ac:dyDescent="0.25">
      <c r="A137" s="3">
        <v>45761</v>
      </c>
      <c r="B137" s="6" t="s">
        <v>11</v>
      </c>
      <c r="C137" s="7">
        <v>772</v>
      </c>
      <c r="D137" s="7">
        <v>82</v>
      </c>
      <c r="E137" s="7">
        <v>345659</v>
      </c>
      <c r="F137" s="7">
        <f>Engagement_Summary[[#This Row],[New_Followers]]-Engagement_Summary[[#This Row],[Unfollows]]</f>
        <v>690</v>
      </c>
      <c r="G137" s="10">
        <f>(Engagement_Summary[[#This Row],[New_Followers]]-Engagement_Summary[[#This Row],[Unfollows]])/Engagement_Summary[[#This Row],[Total_Followers]]</f>
        <v>1.9961869935398759E-3</v>
      </c>
      <c r="H137" s="7">
        <v>3.52</v>
      </c>
      <c r="I137" s="7">
        <v>27753</v>
      </c>
    </row>
    <row r="138" spans="1:9" x14ac:dyDescent="0.25">
      <c r="A138" s="3">
        <v>45761</v>
      </c>
      <c r="B138" s="6" t="s">
        <v>17</v>
      </c>
      <c r="C138" s="7">
        <v>1472</v>
      </c>
      <c r="D138" s="7">
        <v>137</v>
      </c>
      <c r="E138" s="7">
        <v>213950</v>
      </c>
      <c r="F138" s="7">
        <f>Engagement_Summary[[#This Row],[New_Followers]]-Engagement_Summary[[#This Row],[Unfollows]]</f>
        <v>1335</v>
      </c>
      <c r="G138" s="10">
        <f>(Engagement_Summary[[#This Row],[New_Followers]]-Engagement_Summary[[#This Row],[Unfollows]])/Engagement_Summary[[#This Row],[Total_Followers]]</f>
        <v>6.2397756485160086E-3</v>
      </c>
      <c r="H138" s="7">
        <v>6.96</v>
      </c>
      <c r="I138" s="7">
        <v>23736</v>
      </c>
    </row>
    <row r="139" spans="1:9" x14ac:dyDescent="0.25">
      <c r="A139" s="3">
        <v>45761</v>
      </c>
      <c r="B139" s="6" t="s">
        <v>12</v>
      </c>
      <c r="C139" s="7">
        <v>1472</v>
      </c>
      <c r="D139" s="7">
        <v>281</v>
      </c>
      <c r="E139" s="7">
        <v>258115</v>
      </c>
      <c r="F139" s="7">
        <f>Engagement_Summary[[#This Row],[New_Followers]]-Engagement_Summary[[#This Row],[Unfollows]]</f>
        <v>1191</v>
      </c>
      <c r="G139" s="10">
        <f>(Engagement_Summary[[#This Row],[New_Followers]]-Engagement_Summary[[#This Row],[Unfollows]])/Engagement_Summary[[#This Row],[Total_Followers]]</f>
        <v>4.6142223427541986E-3</v>
      </c>
      <c r="H139" s="7">
        <v>7.23</v>
      </c>
      <c r="I139" s="7">
        <v>27393</v>
      </c>
    </row>
    <row r="140" spans="1:9" x14ac:dyDescent="0.25">
      <c r="A140" s="3">
        <v>45768</v>
      </c>
      <c r="B140" s="6" t="s">
        <v>11</v>
      </c>
      <c r="C140" s="7">
        <v>585</v>
      </c>
      <c r="D140" s="7">
        <v>232</v>
      </c>
      <c r="E140" s="7">
        <v>321258</v>
      </c>
      <c r="F140" s="7">
        <f>Engagement_Summary[[#This Row],[New_Followers]]-Engagement_Summary[[#This Row],[Unfollows]]</f>
        <v>353</v>
      </c>
      <c r="G140" s="10">
        <f>(Engagement_Summary[[#This Row],[New_Followers]]-Engagement_Summary[[#This Row],[Unfollows]])/Engagement_Summary[[#This Row],[Total_Followers]]</f>
        <v>1.0988053215795403E-3</v>
      </c>
      <c r="H140" s="7">
        <v>7.42</v>
      </c>
      <c r="I140" s="7">
        <v>10343</v>
      </c>
    </row>
    <row r="141" spans="1:9" x14ac:dyDescent="0.25">
      <c r="A141" s="3">
        <v>45768</v>
      </c>
      <c r="B141" s="6" t="s">
        <v>17</v>
      </c>
      <c r="C141" s="7">
        <v>747</v>
      </c>
      <c r="D141" s="7">
        <v>261</v>
      </c>
      <c r="E141" s="7">
        <v>338650</v>
      </c>
      <c r="F141" s="7">
        <f>Engagement_Summary[[#This Row],[New_Followers]]-Engagement_Summary[[#This Row],[Unfollows]]</f>
        <v>486</v>
      </c>
      <c r="G141" s="10">
        <f>(Engagement_Summary[[#This Row],[New_Followers]]-Engagement_Summary[[#This Row],[Unfollows]])/Engagement_Summary[[#This Row],[Total_Followers]]</f>
        <v>1.4351099955706482E-3</v>
      </c>
      <c r="H141" s="7">
        <v>7.73</v>
      </c>
      <c r="I141" s="7">
        <v>25259</v>
      </c>
    </row>
    <row r="142" spans="1:9" x14ac:dyDescent="0.25">
      <c r="A142" s="3">
        <v>45768</v>
      </c>
      <c r="B142" s="6" t="s">
        <v>12</v>
      </c>
      <c r="C142" s="7">
        <v>1113</v>
      </c>
      <c r="D142" s="7">
        <v>224</v>
      </c>
      <c r="E142" s="7">
        <v>272989</v>
      </c>
      <c r="F142" s="7">
        <f>Engagement_Summary[[#This Row],[New_Followers]]-Engagement_Summary[[#This Row],[Unfollows]]</f>
        <v>889</v>
      </c>
      <c r="G142" s="10">
        <f>(Engagement_Summary[[#This Row],[New_Followers]]-Engagement_Summary[[#This Row],[Unfollows]])/Engagement_Summary[[#This Row],[Total_Followers]]</f>
        <v>3.2565414723670183E-3</v>
      </c>
      <c r="H142" s="7">
        <v>5.13</v>
      </c>
      <c r="I142" s="7">
        <v>24827</v>
      </c>
    </row>
    <row r="143" spans="1:9" x14ac:dyDescent="0.25">
      <c r="A143" s="3">
        <v>45775</v>
      </c>
      <c r="B143" s="6" t="s">
        <v>11</v>
      </c>
      <c r="C143" s="7">
        <v>1100</v>
      </c>
      <c r="D143" s="7">
        <v>117</v>
      </c>
      <c r="E143" s="7">
        <v>260204</v>
      </c>
      <c r="F143" s="7">
        <f>Engagement_Summary[[#This Row],[New_Followers]]-Engagement_Summary[[#This Row],[Unfollows]]</f>
        <v>983</v>
      </c>
      <c r="G143" s="10">
        <f>(Engagement_Summary[[#This Row],[New_Followers]]-Engagement_Summary[[#This Row],[Unfollows]])/Engagement_Summary[[#This Row],[Total_Followers]]</f>
        <v>3.7778051067623862E-3</v>
      </c>
      <c r="H143" s="7">
        <v>4.4000000000000004</v>
      </c>
      <c r="I143" s="7">
        <v>11908</v>
      </c>
    </row>
    <row r="144" spans="1:9" x14ac:dyDescent="0.25">
      <c r="A144" s="3">
        <v>45775</v>
      </c>
      <c r="B144" s="6" t="s">
        <v>17</v>
      </c>
      <c r="C144" s="7">
        <v>751</v>
      </c>
      <c r="D144" s="7">
        <v>170</v>
      </c>
      <c r="E144" s="7">
        <v>283278</v>
      </c>
      <c r="F144" s="7">
        <f>Engagement_Summary[[#This Row],[New_Followers]]-Engagement_Summary[[#This Row],[Unfollows]]</f>
        <v>581</v>
      </c>
      <c r="G144" s="10">
        <f>(Engagement_Summary[[#This Row],[New_Followers]]-Engagement_Summary[[#This Row],[Unfollows]])/Engagement_Summary[[#This Row],[Total_Followers]]</f>
        <v>2.0509887813384732E-3</v>
      </c>
      <c r="H144" s="7">
        <v>3.49</v>
      </c>
      <c r="I144" s="7">
        <v>11005</v>
      </c>
    </row>
    <row r="145" spans="1:9" x14ac:dyDescent="0.25">
      <c r="A145" s="3">
        <v>45775</v>
      </c>
      <c r="B145" s="6" t="s">
        <v>12</v>
      </c>
      <c r="C145" s="7">
        <v>864</v>
      </c>
      <c r="D145" s="7">
        <v>50</v>
      </c>
      <c r="E145" s="7">
        <v>277445</v>
      </c>
      <c r="F145" s="7">
        <f>Engagement_Summary[[#This Row],[New_Followers]]-Engagement_Summary[[#This Row],[Unfollows]]</f>
        <v>814</v>
      </c>
      <c r="G145" s="10">
        <f>(Engagement_Summary[[#This Row],[New_Followers]]-Engagement_Summary[[#This Row],[Unfollows]])/Engagement_Summary[[#This Row],[Total_Followers]]</f>
        <v>2.9339148299662998E-3</v>
      </c>
      <c r="H145" s="7">
        <v>3.57</v>
      </c>
      <c r="I145" s="7">
        <v>26333</v>
      </c>
    </row>
    <row r="146" spans="1:9" x14ac:dyDescent="0.25">
      <c r="A146" s="3">
        <v>45782</v>
      </c>
      <c r="B146" s="6" t="s">
        <v>11</v>
      </c>
      <c r="C146" s="7">
        <v>1146</v>
      </c>
      <c r="D146" s="7">
        <v>227</v>
      </c>
      <c r="E146" s="7">
        <v>353781</v>
      </c>
      <c r="F146" s="7">
        <f>Engagement_Summary[[#This Row],[New_Followers]]-Engagement_Summary[[#This Row],[Unfollows]]</f>
        <v>919</v>
      </c>
      <c r="G146" s="10">
        <f>(Engagement_Summary[[#This Row],[New_Followers]]-Engagement_Summary[[#This Row],[Unfollows]])/Engagement_Summary[[#This Row],[Total_Followers]]</f>
        <v>2.5976522198761379E-3</v>
      </c>
      <c r="H146" s="7">
        <v>6.41</v>
      </c>
      <c r="I146" s="7">
        <v>5495</v>
      </c>
    </row>
    <row r="147" spans="1:9" x14ac:dyDescent="0.25">
      <c r="A147" s="3">
        <v>45782</v>
      </c>
      <c r="B147" s="6" t="s">
        <v>17</v>
      </c>
      <c r="C147" s="7">
        <v>883</v>
      </c>
      <c r="D147" s="7">
        <v>207</v>
      </c>
      <c r="E147" s="7">
        <v>265019</v>
      </c>
      <c r="F147" s="7">
        <f>Engagement_Summary[[#This Row],[New_Followers]]-Engagement_Summary[[#This Row],[Unfollows]]</f>
        <v>676</v>
      </c>
      <c r="G147" s="10">
        <f>(Engagement_Summary[[#This Row],[New_Followers]]-Engagement_Summary[[#This Row],[Unfollows]])/Engagement_Summary[[#This Row],[Total_Followers]]</f>
        <v>2.5507605115104954E-3</v>
      </c>
      <c r="H147" s="7">
        <v>6.04</v>
      </c>
      <c r="I147" s="7">
        <v>15655</v>
      </c>
    </row>
    <row r="148" spans="1:9" x14ac:dyDescent="0.25">
      <c r="A148" s="3">
        <v>45782</v>
      </c>
      <c r="B148" s="6" t="s">
        <v>12</v>
      </c>
      <c r="C148" s="7">
        <v>622</v>
      </c>
      <c r="D148" s="7">
        <v>163</v>
      </c>
      <c r="E148" s="7">
        <v>231925</v>
      </c>
      <c r="F148" s="7">
        <f>Engagement_Summary[[#This Row],[New_Followers]]-Engagement_Summary[[#This Row],[Unfollows]]</f>
        <v>459</v>
      </c>
      <c r="G148" s="10">
        <f>(Engagement_Summary[[#This Row],[New_Followers]]-Engagement_Summary[[#This Row],[Unfollows]])/Engagement_Summary[[#This Row],[Total_Followers]]</f>
        <v>1.9790880672631238E-3</v>
      </c>
      <c r="H148" s="7">
        <v>9.18</v>
      </c>
      <c r="I148" s="7">
        <v>13763</v>
      </c>
    </row>
    <row r="149" spans="1:9" x14ac:dyDescent="0.25">
      <c r="A149" s="3">
        <v>45789</v>
      </c>
      <c r="B149" s="6" t="s">
        <v>11</v>
      </c>
      <c r="C149" s="7">
        <v>837</v>
      </c>
      <c r="D149" s="7">
        <v>261</v>
      </c>
      <c r="E149" s="7">
        <v>366149</v>
      </c>
      <c r="F149" s="7">
        <f>Engagement_Summary[[#This Row],[New_Followers]]-Engagement_Summary[[#This Row],[Unfollows]]</f>
        <v>576</v>
      </c>
      <c r="G149" s="10">
        <f>(Engagement_Summary[[#This Row],[New_Followers]]-Engagement_Summary[[#This Row],[Unfollows]])/Engagement_Summary[[#This Row],[Total_Followers]]</f>
        <v>1.5731300645365684E-3</v>
      </c>
      <c r="H149" s="7">
        <v>6.54</v>
      </c>
      <c r="I149" s="7">
        <v>26073</v>
      </c>
    </row>
    <row r="150" spans="1:9" x14ac:dyDescent="0.25">
      <c r="A150" s="3">
        <v>45789</v>
      </c>
      <c r="B150" s="6" t="s">
        <v>17</v>
      </c>
      <c r="C150" s="7">
        <v>544</v>
      </c>
      <c r="D150" s="7">
        <v>97</v>
      </c>
      <c r="E150" s="7">
        <v>168375</v>
      </c>
      <c r="F150" s="7">
        <f>Engagement_Summary[[#This Row],[New_Followers]]-Engagement_Summary[[#This Row],[Unfollows]]</f>
        <v>447</v>
      </c>
      <c r="G150" s="10">
        <f>(Engagement_Summary[[#This Row],[New_Followers]]-Engagement_Summary[[#This Row],[Unfollows]])/Engagement_Summary[[#This Row],[Total_Followers]]</f>
        <v>2.6547884187082403E-3</v>
      </c>
      <c r="H150" s="7">
        <v>8.66</v>
      </c>
      <c r="I150" s="7">
        <v>12774</v>
      </c>
    </row>
    <row r="151" spans="1:9" x14ac:dyDescent="0.25">
      <c r="A151" s="3">
        <v>45789</v>
      </c>
      <c r="B151" s="6" t="s">
        <v>12</v>
      </c>
      <c r="C151" s="7">
        <v>624</v>
      </c>
      <c r="D151" s="7">
        <v>247</v>
      </c>
      <c r="E151" s="7">
        <v>252763</v>
      </c>
      <c r="F151" s="7">
        <f>Engagement_Summary[[#This Row],[New_Followers]]-Engagement_Summary[[#This Row],[Unfollows]]</f>
        <v>377</v>
      </c>
      <c r="G151" s="10">
        <f>(Engagement_Summary[[#This Row],[New_Followers]]-Engagement_Summary[[#This Row],[Unfollows]])/Engagement_Summary[[#This Row],[Total_Followers]]</f>
        <v>1.4915157677349929E-3</v>
      </c>
      <c r="H151" s="7">
        <v>3.89</v>
      </c>
      <c r="I151" s="7">
        <v>19000</v>
      </c>
    </row>
    <row r="152" spans="1:9" x14ac:dyDescent="0.25">
      <c r="A152" s="3">
        <v>45796</v>
      </c>
      <c r="B152" s="6" t="s">
        <v>11</v>
      </c>
      <c r="C152" s="7">
        <v>1073</v>
      </c>
      <c r="D152" s="7">
        <v>141</v>
      </c>
      <c r="E152" s="7">
        <v>118393</v>
      </c>
      <c r="F152" s="7">
        <f>Engagement_Summary[[#This Row],[New_Followers]]-Engagement_Summary[[#This Row],[Unfollows]]</f>
        <v>932</v>
      </c>
      <c r="G152" s="10">
        <f>(Engagement_Summary[[#This Row],[New_Followers]]-Engagement_Summary[[#This Row],[Unfollows]])/Engagement_Summary[[#This Row],[Total_Followers]]</f>
        <v>7.872087032172511E-3</v>
      </c>
      <c r="H152" s="7">
        <v>7.95</v>
      </c>
      <c r="I152" s="7">
        <v>14051</v>
      </c>
    </row>
    <row r="153" spans="1:9" x14ac:dyDescent="0.25">
      <c r="A153" s="3">
        <v>45796</v>
      </c>
      <c r="B153" s="6" t="s">
        <v>17</v>
      </c>
      <c r="C153" s="7">
        <v>1430</v>
      </c>
      <c r="D153" s="7">
        <v>74</v>
      </c>
      <c r="E153" s="7">
        <v>327012</v>
      </c>
      <c r="F153" s="7">
        <f>Engagement_Summary[[#This Row],[New_Followers]]-Engagement_Summary[[#This Row],[Unfollows]]</f>
        <v>1356</v>
      </c>
      <c r="G153" s="10">
        <f>(Engagement_Summary[[#This Row],[New_Followers]]-Engagement_Summary[[#This Row],[Unfollows]])/Engagement_Summary[[#This Row],[Total_Followers]]</f>
        <v>4.1466368206671319E-3</v>
      </c>
      <c r="H153" s="7">
        <v>6.66</v>
      </c>
      <c r="I153" s="7">
        <v>27782</v>
      </c>
    </row>
    <row r="154" spans="1:9" x14ac:dyDescent="0.25">
      <c r="A154" s="3">
        <v>45796</v>
      </c>
      <c r="B154" s="6" t="s">
        <v>12</v>
      </c>
      <c r="C154" s="7">
        <v>1358</v>
      </c>
      <c r="D154" s="7">
        <v>77</v>
      </c>
      <c r="E154" s="7">
        <v>169688</v>
      </c>
      <c r="F154" s="7">
        <f>Engagement_Summary[[#This Row],[New_Followers]]-Engagement_Summary[[#This Row],[Unfollows]]</f>
        <v>1281</v>
      </c>
      <c r="G154" s="10">
        <f>(Engagement_Summary[[#This Row],[New_Followers]]-Engagement_Summary[[#This Row],[Unfollows]])/Engagement_Summary[[#This Row],[Total_Followers]]</f>
        <v>7.5491490264485411E-3</v>
      </c>
      <c r="H154" s="7">
        <v>5.25</v>
      </c>
      <c r="I154" s="7">
        <v>7859</v>
      </c>
    </row>
    <row r="155" spans="1:9" x14ac:dyDescent="0.25">
      <c r="A155" s="3">
        <v>45803</v>
      </c>
      <c r="B155" s="6" t="s">
        <v>11</v>
      </c>
      <c r="C155" s="7">
        <v>1242</v>
      </c>
      <c r="D155" s="7">
        <v>201</v>
      </c>
      <c r="E155" s="7">
        <v>271935</v>
      </c>
      <c r="F155" s="7">
        <f>Engagement_Summary[[#This Row],[New_Followers]]-Engagement_Summary[[#This Row],[Unfollows]]</f>
        <v>1041</v>
      </c>
      <c r="G155" s="10">
        <f>(Engagement_Summary[[#This Row],[New_Followers]]-Engagement_Summary[[#This Row],[Unfollows]])/Engagement_Summary[[#This Row],[Total_Followers]]</f>
        <v>3.8281206906062111E-3</v>
      </c>
      <c r="H155" s="7">
        <v>5.07</v>
      </c>
      <c r="I155" s="7">
        <v>15773</v>
      </c>
    </row>
    <row r="156" spans="1:9" x14ac:dyDescent="0.25">
      <c r="A156" s="3">
        <v>45803</v>
      </c>
      <c r="B156" s="6" t="s">
        <v>17</v>
      </c>
      <c r="C156" s="7">
        <v>1389</v>
      </c>
      <c r="D156" s="7">
        <v>205</v>
      </c>
      <c r="E156" s="7">
        <v>315981</v>
      </c>
      <c r="F156" s="7">
        <f>Engagement_Summary[[#This Row],[New_Followers]]-Engagement_Summary[[#This Row],[Unfollows]]</f>
        <v>1184</v>
      </c>
      <c r="G156" s="10">
        <f>(Engagement_Summary[[#This Row],[New_Followers]]-Engagement_Summary[[#This Row],[Unfollows]])/Engagement_Summary[[#This Row],[Total_Followers]]</f>
        <v>3.7470607409939207E-3</v>
      </c>
      <c r="H156" s="7">
        <v>7.62</v>
      </c>
      <c r="I156" s="7">
        <v>20595</v>
      </c>
    </row>
    <row r="157" spans="1:9" x14ac:dyDescent="0.25">
      <c r="A157" s="3">
        <v>45803</v>
      </c>
      <c r="B157" s="6" t="s">
        <v>12</v>
      </c>
      <c r="C157" s="7">
        <v>826</v>
      </c>
      <c r="D157" s="7">
        <v>142</v>
      </c>
      <c r="E157" s="7">
        <v>341016</v>
      </c>
      <c r="F157" s="7">
        <f>Engagement_Summary[[#This Row],[New_Followers]]-Engagement_Summary[[#This Row],[Unfollows]]</f>
        <v>684</v>
      </c>
      <c r="G157" s="10">
        <f>(Engagement_Summary[[#This Row],[New_Followers]]-Engagement_Summary[[#This Row],[Unfollows]])/Engagement_Summary[[#This Row],[Total_Followers]]</f>
        <v>2.005770990217468E-3</v>
      </c>
      <c r="H157" s="7">
        <v>7.44</v>
      </c>
      <c r="I157" s="7">
        <v>12031</v>
      </c>
    </row>
    <row r="158" spans="1:9" x14ac:dyDescent="0.25">
      <c r="A158" s="3">
        <v>45810</v>
      </c>
      <c r="B158" s="6" t="s">
        <v>11</v>
      </c>
      <c r="C158" s="7">
        <v>618</v>
      </c>
      <c r="D158" s="7">
        <v>264</v>
      </c>
      <c r="E158" s="7">
        <v>285164</v>
      </c>
      <c r="F158" s="7">
        <f>Engagement_Summary[[#This Row],[New_Followers]]-Engagement_Summary[[#This Row],[Unfollows]]</f>
        <v>354</v>
      </c>
      <c r="G158" s="10">
        <f>(Engagement_Summary[[#This Row],[New_Followers]]-Engagement_Summary[[#This Row],[Unfollows]])/Engagement_Summary[[#This Row],[Total_Followers]]</f>
        <v>1.2413909189098204E-3</v>
      </c>
      <c r="H158" s="7">
        <v>4.8600000000000003</v>
      </c>
      <c r="I158" s="7">
        <v>15128</v>
      </c>
    </row>
    <row r="159" spans="1:9" x14ac:dyDescent="0.25">
      <c r="A159" s="3">
        <v>45810</v>
      </c>
      <c r="B159" s="6" t="s">
        <v>17</v>
      </c>
      <c r="C159" s="7">
        <v>1419</v>
      </c>
      <c r="D159" s="7">
        <v>293</v>
      </c>
      <c r="E159" s="7">
        <v>116632</v>
      </c>
      <c r="F159" s="7">
        <f>Engagement_Summary[[#This Row],[New_Followers]]-Engagement_Summary[[#This Row],[Unfollows]]</f>
        <v>1126</v>
      </c>
      <c r="G159" s="10">
        <f>(Engagement_Summary[[#This Row],[New_Followers]]-Engagement_Summary[[#This Row],[Unfollows]])/Engagement_Summary[[#This Row],[Total_Followers]]</f>
        <v>9.6542972769051369E-3</v>
      </c>
      <c r="H159" s="7">
        <v>6.93</v>
      </c>
      <c r="I159" s="7">
        <v>11826</v>
      </c>
    </row>
    <row r="160" spans="1:9" x14ac:dyDescent="0.25">
      <c r="A160" s="3">
        <v>45810</v>
      </c>
      <c r="B160" s="6" t="s">
        <v>12</v>
      </c>
      <c r="C160" s="7">
        <v>637</v>
      </c>
      <c r="D160" s="7">
        <v>68</v>
      </c>
      <c r="E160" s="7">
        <v>115694</v>
      </c>
      <c r="F160" s="7">
        <f>Engagement_Summary[[#This Row],[New_Followers]]-Engagement_Summary[[#This Row],[Unfollows]]</f>
        <v>569</v>
      </c>
      <c r="G160" s="10">
        <f>(Engagement_Summary[[#This Row],[New_Followers]]-Engagement_Summary[[#This Row],[Unfollows]])/Engagement_Summary[[#This Row],[Total_Followers]]</f>
        <v>4.9181461441388493E-3</v>
      </c>
      <c r="H160" s="7">
        <v>9.99</v>
      </c>
      <c r="I160" s="7">
        <v>12562</v>
      </c>
    </row>
    <row r="161" spans="1:9" x14ac:dyDescent="0.25">
      <c r="A161" s="3">
        <v>45817</v>
      </c>
      <c r="B161" s="6" t="s">
        <v>11</v>
      </c>
      <c r="C161" s="7">
        <v>917</v>
      </c>
      <c r="D161" s="7">
        <v>187</v>
      </c>
      <c r="E161" s="7">
        <v>64444</v>
      </c>
      <c r="F161" s="7">
        <f>Engagement_Summary[[#This Row],[New_Followers]]-Engagement_Summary[[#This Row],[Unfollows]]</f>
        <v>730</v>
      </c>
      <c r="G161" s="10">
        <f>(Engagement_Summary[[#This Row],[New_Followers]]-Engagement_Summary[[#This Row],[Unfollows]])/Engagement_Summary[[#This Row],[Total_Followers]]</f>
        <v>1.1327664328719508E-2</v>
      </c>
      <c r="H161" s="7">
        <v>5.22</v>
      </c>
      <c r="I161" s="7">
        <v>13013</v>
      </c>
    </row>
    <row r="162" spans="1:9" x14ac:dyDescent="0.25">
      <c r="A162" s="3">
        <v>45817</v>
      </c>
      <c r="B162" s="6" t="s">
        <v>17</v>
      </c>
      <c r="C162" s="7">
        <v>810</v>
      </c>
      <c r="D162" s="7">
        <v>232</v>
      </c>
      <c r="E162" s="7">
        <v>362559</v>
      </c>
      <c r="F162" s="7">
        <f>Engagement_Summary[[#This Row],[New_Followers]]-Engagement_Summary[[#This Row],[Unfollows]]</f>
        <v>578</v>
      </c>
      <c r="G162" s="10">
        <f>(Engagement_Summary[[#This Row],[New_Followers]]-Engagement_Summary[[#This Row],[Unfollows]])/Engagement_Summary[[#This Row],[Total_Followers]]</f>
        <v>1.5942232850377457E-3</v>
      </c>
      <c r="H162" s="7">
        <v>5.17</v>
      </c>
      <c r="I162" s="7">
        <v>12937</v>
      </c>
    </row>
    <row r="163" spans="1:9" x14ac:dyDescent="0.25">
      <c r="A163" s="3">
        <v>45817</v>
      </c>
      <c r="B163" s="6" t="s">
        <v>12</v>
      </c>
      <c r="C163" s="7">
        <v>1183</v>
      </c>
      <c r="D163" s="7">
        <v>248</v>
      </c>
      <c r="E163" s="7">
        <v>226881</v>
      </c>
      <c r="F163" s="7">
        <f>Engagement_Summary[[#This Row],[New_Followers]]-Engagement_Summary[[#This Row],[Unfollows]]</f>
        <v>935</v>
      </c>
      <c r="G163" s="10">
        <f>(Engagement_Summary[[#This Row],[New_Followers]]-Engagement_Summary[[#This Row],[Unfollows]])/Engagement_Summary[[#This Row],[Total_Followers]]</f>
        <v>4.1211031333606603E-3</v>
      </c>
      <c r="H163" s="7">
        <v>5.17</v>
      </c>
      <c r="I163" s="7">
        <v>14534</v>
      </c>
    </row>
    <row r="164" spans="1:9" x14ac:dyDescent="0.25">
      <c r="A164" s="3">
        <v>45824</v>
      </c>
      <c r="B164" s="6" t="s">
        <v>11</v>
      </c>
      <c r="C164" s="7">
        <v>765</v>
      </c>
      <c r="D164" s="7">
        <v>67</v>
      </c>
      <c r="E164" s="7">
        <v>283537</v>
      </c>
      <c r="F164" s="7">
        <f>Engagement_Summary[[#This Row],[New_Followers]]-Engagement_Summary[[#This Row],[Unfollows]]</f>
        <v>698</v>
      </c>
      <c r="G164" s="10">
        <f>(Engagement_Summary[[#This Row],[New_Followers]]-Engagement_Summary[[#This Row],[Unfollows]])/Engagement_Summary[[#This Row],[Total_Followers]]</f>
        <v>2.4617598408673293E-3</v>
      </c>
      <c r="H164" s="7">
        <v>6.18</v>
      </c>
      <c r="I164" s="7">
        <v>8182</v>
      </c>
    </row>
    <row r="165" spans="1:9" x14ac:dyDescent="0.25">
      <c r="A165" s="3">
        <v>45824</v>
      </c>
      <c r="B165" s="6" t="s">
        <v>17</v>
      </c>
      <c r="C165" s="7">
        <v>540</v>
      </c>
      <c r="D165" s="7">
        <v>215</v>
      </c>
      <c r="E165" s="7">
        <v>62837</v>
      </c>
      <c r="F165" s="7">
        <f>Engagement_Summary[[#This Row],[New_Followers]]-Engagement_Summary[[#This Row],[Unfollows]]</f>
        <v>325</v>
      </c>
      <c r="G165" s="10">
        <f>(Engagement_Summary[[#This Row],[New_Followers]]-Engagement_Summary[[#This Row],[Unfollows]])/Engagement_Summary[[#This Row],[Total_Followers]]</f>
        <v>5.1721119722456512E-3</v>
      </c>
      <c r="H165" s="7">
        <v>5.3</v>
      </c>
      <c r="I165" s="7">
        <v>10615</v>
      </c>
    </row>
    <row r="166" spans="1:9" x14ac:dyDescent="0.25">
      <c r="A166" s="3">
        <v>45824</v>
      </c>
      <c r="B166" s="6" t="s">
        <v>12</v>
      </c>
      <c r="C166" s="7">
        <v>1145</v>
      </c>
      <c r="D166" s="7">
        <v>151</v>
      </c>
      <c r="E166" s="7">
        <v>182759</v>
      </c>
      <c r="F166" s="7">
        <f>Engagement_Summary[[#This Row],[New_Followers]]-Engagement_Summary[[#This Row],[Unfollows]]</f>
        <v>994</v>
      </c>
      <c r="G166" s="10">
        <f>(Engagement_Summary[[#This Row],[New_Followers]]-Engagement_Summary[[#This Row],[Unfollows]])/Engagement_Summary[[#This Row],[Total_Followers]]</f>
        <v>5.4388566363352828E-3</v>
      </c>
      <c r="H166" s="7">
        <v>5.99</v>
      </c>
      <c r="I166" s="7">
        <v>20109</v>
      </c>
    </row>
    <row r="167" spans="1:9" x14ac:dyDescent="0.25">
      <c r="A167" s="3">
        <v>45831</v>
      </c>
      <c r="B167" s="6" t="s">
        <v>11</v>
      </c>
      <c r="C167" s="7">
        <v>564</v>
      </c>
      <c r="D167" s="7">
        <v>244</v>
      </c>
      <c r="E167" s="7">
        <v>279405</v>
      </c>
      <c r="F167" s="7">
        <f>Engagement_Summary[[#This Row],[New_Followers]]-Engagement_Summary[[#This Row],[Unfollows]]</f>
        <v>320</v>
      </c>
      <c r="G167" s="10">
        <f>(Engagement_Summary[[#This Row],[New_Followers]]-Engagement_Summary[[#This Row],[Unfollows]])/Engagement_Summary[[#This Row],[Total_Followers]]</f>
        <v>1.1452908859898713E-3</v>
      </c>
      <c r="H167" s="7">
        <v>8.43</v>
      </c>
      <c r="I167" s="7">
        <v>26024</v>
      </c>
    </row>
    <row r="168" spans="1:9" x14ac:dyDescent="0.25">
      <c r="A168" s="3">
        <v>45831</v>
      </c>
      <c r="B168" s="6" t="s">
        <v>17</v>
      </c>
      <c r="C168" s="7">
        <v>668</v>
      </c>
      <c r="D168" s="7">
        <v>124</v>
      </c>
      <c r="E168" s="7">
        <v>257485</v>
      </c>
      <c r="F168" s="7">
        <f>Engagement_Summary[[#This Row],[New_Followers]]-Engagement_Summary[[#This Row],[Unfollows]]</f>
        <v>544</v>
      </c>
      <c r="G168" s="10">
        <f>(Engagement_Summary[[#This Row],[New_Followers]]-Engagement_Summary[[#This Row],[Unfollows]])/Engagement_Summary[[#This Row],[Total_Followers]]</f>
        <v>2.1127444317144686E-3</v>
      </c>
      <c r="H168" s="7">
        <v>7.55</v>
      </c>
      <c r="I168" s="7">
        <v>26730</v>
      </c>
    </row>
    <row r="169" spans="1:9" x14ac:dyDescent="0.25">
      <c r="A169" s="3">
        <v>45831</v>
      </c>
      <c r="B169" s="6" t="s">
        <v>12</v>
      </c>
      <c r="C169" s="7">
        <v>761</v>
      </c>
      <c r="D169" s="7">
        <v>241</v>
      </c>
      <c r="E169" s="7">
        <v>154977</v>
      </c>
      <c r="F169" s="7">
        <f>Engagement_Summary[[#This Row],[New_Followers]]-Engagement_Summary[[#This Row],[Unfollows]]</f>
        <v>520</v>
      </c>
      <c r="G169" s="10">
        <f>(Engagement_Summary[[#This Row],[New_Followers]]-Engagement_Summary[[#This Row],[Unfollows]])/Engagement_Summary[[#This Row],[Total_Followers]]</f>
        <v>3.3553365983339462E-3</v>
      </c>
      <c r="H169" s="7">
        <v>5.63</v>
      </c>
      <c r="I169" s="7">
        <v>10563</v>
      </c>
    </row>
    <row r="170" spans="1:9" x14ac:dyDescent="0.25">
      <c r="A170" s="3">
        <v>45838</v>
      </c>
      <c r="B170" s="6" t="s">
        <v>11</v>
      </c>
      <c r="C170" s="7">
        <v>593</v>
      </c>
      <c r="D170" s="7">
        <v>108</v>
      </c>
      <c r="E170" s="7">
        <v>216500</v>
      </c>
      <c r="F170" s="7">
        <f>Engagement_Summary[[#This Row],[New_Followers]]-Engagement_Summary[[#This Row],[Unfollows]]</f>
        <v>485</v>
      </c>
      <c r="G170" s="10">
        <f>(Engagement_Summary[[#This Row],[New_Followers]]-Engagement_Summary[[#This Row],[Unfollows]])/Engagement_Summary[[#This Row],[Total_Followers]]</f>
        <v>2.2401847575057735E-3</v>
      </c>
      <c r="H170" s="7">
        <v>4.71</v>
      </c>
      <c r="I170" s="7">
        <v>27575</v>
      </c>
    </row>
    <row r="171" spans="1:9" x14ac:dyDescent="0.25">
      <c r="A171" s="3">
        <v>45838</v>
      </c>
      <c r="B171" s="6" t="s">
        <v>17</v>
      </c>
      <c r="C171" s="7">
        <v>1349</v>
      </c>
      <c r="D171" s="7">
        <v>115</v>
      </c>
      <c r="E171" s="7">
        <v>102102</v>
      </c>
      <c r="F171" s="7">
        <f>Engagement_Summary[[#This Row],[New_Followers]]-Engagement_Summary[[#This Row],[Unfollows]]</f>
        <v>1234</v>
      </c>
      <c r="G171" s="10">
        <f>(Engagement_Summary[[#This Row],[New_Followers]]-Engagement_Summary[[#This Row],[Unfollows]])/Engagement_Summary[[#This Row],[Total_Followers]]</f>
        <v>1.208595326242385E-2</v>
      </c>
      <c r="H171" s="7">
        <v>5.28</v>
      </c>
      <c r="I171" s="7">
        <v>14479</v>
      </c>
    </row>
    <row r="172" spans="1:9" x14ac:dyDescent="0.25">
      <c r="A172" s="3">
        <v>45838</v>
      </c>
      <c r="B172" s="6" t="s">
        <v>12</v>
      </c>
      <c r="C172" s="7">
        <v>693</v>
      </c>
      <c r="D172" s="7">
        <v>97</v>
      </c>
      <c r="E172" s="7">
        <v>92025</v>
      </c>
      <c r="F172" s="7">
        <f>Engagement_Summary[[#This Row],[New_Followers]]-Engagement_Summary[[#This Row],[Unfollows]]</f>
        <v>596</v>
      </c>
      <c r="G172" s="10">
        <f>(Engagement_Summary[[#This Row],[New_Followers]]-Engagement_Summary[[#This Row],[Unfollows]])/Engagement_Summary[[#This Row],[Total_Followers]]</f>
        <v>6.4765009508285796E-3</v>
      </c>
      <c r="H172" s="7">
        <v>5.95</v>
      </c>
      <c r="I172" s="7">
        <v>15915</v>
      </c>
    </row>
    <row r="173" spans="1:9" x14ac:dyDescent="0.25">
      <c r="A173" s="3">
        <v>45845</v>
      </c>
      <c r="B173" s="6" t="s">
        <v>11</v>
      </c>
      <c r="C173" s="7">
        <v>974</v>
      </c>
      <c r="D173" s="7">
        <v>143</v>
      </c>
      <c r="E173" s="7">
        <v>247965</v>
      </c>
      <c r="F173" s="7">
        <f>Engagement_Summary[[#This Row],[New_Followers]]-Engagement_Summary[[#This Row],[Unfollows]]</f>
        <v>831</v>
      </c>
      <c r="G173" s="10">
        <f>(Engagement_Summary[[#This Row],[New_Followers]]-Engagement_Summary[[#This Row],[Unfollows]])/Engagement_Summary[[#This Row],[Total_Followers]]</f>
        <v>3.3512794144334888E-3</v>
      </c>
      <c r="H173" s="7">
        <v>9.98</v>
      </c>
      <c r="I173" s="7">
        <v>12767</v>
      </c>
    </row>
    <row r="174" spans="1:9" x14ac:dyDescent="0.25">
      <c r="A174" s="3">
        <v>45845</v>
      </c>
      <c r="B174" s="6" t="s">
        <v>17</v>
      </c>
      <c r="C174" s="7">
        <v>1155</v>
      </c>
      <c r="D174" s="7">
        <v>122</v>
      </c>
      <c r="E174" s="7">
        <v>387352</v>
      </c>
      <c r="F174" s="7">
        <f>Engagement_Summary[[#This Row],[New_Followers]]-Engagement_Summary[[#This Row],[Unfollows]]</f>
        <v>1033</v>
      </c>
      <c r="G174" s="10">
        <f>(Engagement_Summary[[#This Row],[New_Followers]]-Engagement_Summary[[#This Row],[Unfollows]])/Engagement_Summary[[#This Row],[Total_Followers]]</f>
        <v>2.6668250067122413E-3</v>
      </c>
      <c r="H174" s="7">
        <v>9.93</v>
      </c>
      <c r="I174" s="7">
        <v>12170</v>
      </c>
    </row>
    <row r="175" spans="1:9" x14ac:dyDescent="0.25">
      <c r="A175" s="3">
        <v>45845</v>
      </c>
      <c r="B175" s="6" t="s">
        <v>12</v>
      </c>
      <c r="C175" s="7">
        <v>1051</v>
      </c>
      <c r="D175" s="7">
        <v>246</v>
      </c>
      <c r="E175" s="7">
        <v>253985</v>
      </c>
      <c r="F175" s="7">
        <f>Engagement_Summary[[#This Row],[New_Followers]]-Engagement_Summary[[#This Row],[Unfollows]]</f>
        <v>805</v>
      </c>
      <c r="G175" s="10">
        <f>(Engagement_Summary[[#This Row],[New_Followers]]-Engagement_Summary[[#This Row],[Unfollows]])/Engagement_Summary[[#This Row],[Total_Followers]]</f>
        <v>3.1694785125105812E-3</v>
      </c>
      <c r="H175" s="7">
        <v>9.08</v>
      </c>
      <c r="I175" s="7">
        <v>7245</v>
      </c>
    </row>
    <row r="176" spans="1:9" x14ac:dyDescent="0.25">
      <c r="A176" s="3">
        <v>45852</v>
      </c>
      <c r="B176" s="6" t="s">
        <v>11</v>
      </c>
      <c r="C176" s="7">
        <v>1457</v>
      </c>
      <c r="D176" s="7">
        <v>183</v>
      </c>
      <c r="E176" s="7">
        <v>129640</v>
      </c>
      <c r="F176" s="7">
        <f>Engagement_Summary[[#This Row],[New_Followers]]-Engagement_Summary[[#This Row],[Unfollows]]</f>
        <v>1274</v>
      </c>
      <c r="G176" s="10">
        <f>(Engagement_Summary[[#This Row],[New_Followers]]-Engagement_Summary[[#This Row],[Unfollows]])/Engagement_Summary[[#This Row],[Total_Followers]]</f>
        <v>9.827213822894169E-3</v>
      </c>
      <c r="H176" s="7">
        <v>7.98</v>
      </c>
      <c r="I176" s="7">
        <v>12985</v>
      </c>
    </row>
    <row r="177" spans="1:9" x14ac:dyDescent="0.25">
      <c r="A177" s="3">
        <v>45852</v>
      </c>
      <c r="B177" s="6" t="s">
        <v>17</v>
      </c>
      <c r="C177" s="7">
        <v>670</v>
      </c>
      <c r="D177" s="7">
        <v>242</v>
      </c>
      <c r="E177" s="7">
        <v>281913</v>
      </c>
      <c r="F177" s="7">
        <f>Engagement_Summary[[#This Row],[New_Followers]]-Engagement_Summary[[#This Row],[Unfollows]]</f>
        <v>428</v>
      </c>
      <c r="G177" s="10">
        <f>(Engagement_Summary[[#This Row],[New_Followers]]-Engagement_Summary[[#This Row],[Unfollows]])/Engagement_Summary[[#This Row],[Total_Followers]]</f>
        <v>1.5181988769584942E-3</v>
      </c>
      <c r="H177" s="7">
        <v>9.6199999999999992</v>
      </c>
      <c r="I177" s="7">
        <v>16377</v>
      </c>
    </row>
    <row r="178" spans="1:9" x14ac:dyDescent="0.25">
      <c r="A178" s="3">
        <v>45852</v>
      </c>
      <c r="B178" s="6" t="s">
        <v>12</v>
      </c>
      <c r="C178" s="7">
        <v>1111</v>
      </c>
      <c r="D178" s="7">
        <v>159</v>
      </c>
      <c r="E178" s="7">
        <v>360770</v>
      </c>
      <c r="F178" s="7">
        <f>Engagement_Summary[[#This Row],[New_Followers]]-Engagement_Summary[[#This Row],[Unfollows]]</f>
        <v>952</v>
      </c>
      <c r="G178" s="10">
        <f>(Engagement_Summary[[#This Row],[New_Followers]]-Engagement_Summary[[#This Row],[Unfollows]])/Engagement_Summary[[#This Row],[Total_Followers]]</f>
        <v>2.6388003437092886E-3</v>
      </c>
      <c r="H178" s="7">
        <v>8.7100000000000009</v>
      </c>
      <c r="I178" s="7">
        <v>11453</v>
      </c>
    </row>
    <row r="179" spans="1:9" x14ac:dyDescent="0.25">
      <c r="A179" s="3">
        <v>45859</v>
      </c>
      <c r="B179" s="6" t="s">
        <v>11</v>
      </c>
      <c r="C179" s="7">
        <v>1197</v>
      </c>
      <c r="D179" s="7">
        <v>246</v>
      </c>
      <c r="E179" s="7">
        <v>127273</v>
      </c>
      <c r="F179" s="7">
        <f>Engagement_Summary[[#This Row],[New_Followers]]-Engagement_Summary[[#This Row],[Unfollows]]</f>
        <v>951</v>
      </c>
      <c r="G179" s="10">
        <f>(Engagement_Summary[[#This Row],[New_Followers]]-Engagement_Summary[[#This Row],[Unfollows]])/Engagement_Summary[[#This Row],[Total_Followers]]</f>
        <v>7.4721268454424738E-3</v>
      </c>
      <c r="H179" s="7">
        <v>6.69</v>
      </c>
      <c r="I179" s="7">
        <v>12323</v>
      </c>
    </row>
    <row r="180" spans="1:9" x14ac:dyDescent="0.25">
      <c r="A180" s="3">
        <v>45859</v>
      </c>
      <c r="B180" s="6" t="s">
        <v>17</v>
      </c>
      <c r="C180" s="7">
        <v>754</v>
      </c>
      <c r="D180" s="7">
        <v>150</v>
      </c>
      <c r="E180" s="7">
        <v>189622</v>
      </c>
      <c r="F180" s="7">
        <f>Engagement_Summary[[#This Row],[New_Followers]]-Engagement_Summary[[#This Row],[Unfollows]]</f>
        <v>604</v>
      </c>
      <c r="G180" s="10">
        <f>(Engagement_Summary[[#This Row],[New_Followers]]-Engagement_Summary[[#This Row],[Unfollows]])/Engagement_Summary[[#This Row],[Total_Followers]]</f>
        <v>3.1852844079273504E-3</v>
      </c>
      <c r="H180" s="7">
        <v>4.25</v>
      </c>
      <c r="I180" s="7">
        <v>11911</v>
      </c>
    </row>
    <row r="181" spans="1:9" x14ac:dyDescent="0.25">
      <c r="A181" s="3">
        <v>45859</v>
      </c>
      <c r="B181" s="6" t="s">
        <v>12</v>
      </c>
      <c r="C181" s="7">
        <v>1246</v>
      </c>
      <c r="D181" s="7">
        <v>107</v>
      </c>
      <c r="E181" s="7">
        <v>350949</v>
      </c>
      <c r="F181" s="7">
        <f>Engagement_Summary[[#This Row],[New_Followers]]-Engagement_Summary[[#This Row],[Unfollows]]</f>
        <v>1139</v>
      </c>
      <c r="G181" s="10">
        <f>(Engagement_Summary[[#This Row],[New_Followers]]-Engagement_Summary[[#This Row],[Unfollows]])/Engagement_Summary[[#This Row],[Total_Followers]]</f>
        <v>3.2454858113287115E-3</v>
      </c>
      <c r="H181" s="7">
        <v>4.9800000000000004</v>
      </c>
      <c r="I181" s="7">
        <v>27809</v>
      </c>
    </row>
    <row r="182" spans="1:9" x14ac:dyDescent="0.25">
      <c r="A182" s="3">
        <v>45866</v>
      </c>
      <c r="B182" s="6" t="s">
        <v>11</v>
      </c>
      <c r="C182" s="7">
        <v>780</v>
      </c>
      <c r="D182" s="7">
        <v>213</v>
      </c>
      <c r="E182" s="7">
        <v>121431</v>
      </c>
      <c r="F182" s="7">
        <f>Engagement_Summary[[#This Row],[New_Followers]]-Engagement_Summary[[#This Row],[Unfollows]]</f>
        <v>567</v>
      </c>
      <c r="G182" s="10">
        <f>(Engagement_Summary[[#This Row],[New_Followers]]-Engagement_Summary[[#This Row],[Unfollows]])/Engagement_Summary[[#This Row],[Total_Followers]]</f>
        <v>4.669318378338316E-3</v>
      </c>
      <c r="H182" s="7">
        <v>4.97</v>
      </c>
      <c r="I182" s="7">
        <v>21464</v>
      </c>
    </row>
    <row r="183" spans="1:9" x14ac:dyDescent="0.25">
      <c r="A183" s="3">
        <v>45866</v>
      </c>
      <c r="B183" s="6" t="s">
        <v>17</v>
      </c>
      <c r="C183" s="7">
        <v>1425</v>
      </c>
      <c r="D183" s="7">
        <v>143</v>
      </c>
      <c r="E183" s="7">
        <v>116742</v>
      </c>
      <c r="F183" s="7">
        <f>Engagement_Summary[[#This Row],[New_Followers]]-Engagement_Summary[[#This Row],[Unfollows]]</f>
        <v>1282</v>
      </c>
      <c r="G183" s="10">
        <f>(Engagement_Summary[[#This Row],[New_Followers]]-Engagement_Summary[[#This Row],[Unfollows]])/Engagement_Summary[[#This Row],[Total_Followers]]</f>
        <v>1.0981480529715098E-2</v>
      </c>
      <c r="H183" s="7">
        <v>3.71</v>
      </c>
      <c r="I183" s="7">
        <v>27126</v>
      </c>
    </row>
    <row r="184" spans="1:9" x14ac:dyDescent="0.25">
      <c r="A184" s="3">
        <v>45866</v>
      </c>
      <c r="B184" s="6" t="s">
        <v>12</v>
      </c>
      <c r="C184" s="7">
        <v>1490</v>
      </c>
      <c r="D184" s="7">
        <v>103</v>
      </c>
      <c r="E184" s="7">
        <v>81184</v>
      </c>
      <c r="F184" s="7">
        <f>Engagement_Summary[[#This Row],[New_Followers]]-Engagement_Summary[[#This Row],[Unfollows]]</f>
        <v>1387</v>
      </c>
      <c r="G184" s="10">
        <f>(Engagement_Summary[[#This Row],[New_Followers]]-Engagement_Summary[[#This Row],[Unfollows]])/Engagement_Summary[[#This Row],[Total_Followers]]</f>
        <v>1.7084647221127316E-2</v>
      </c>
      <c r="H184" s="7">
        <v>7.79</v>
      </c>
      <c r="I184" s="7">
        <v>10681</v>
      </c>
    </row>
    <row r="185" spans="1:9" x14ac:dyDescent="0.25">
      <c r="A185" s="3">
        <v>45873</v>
      </c>
      <c r="B185" s="6" t="s">
        <v>11</v>
      </c>
      <c r="C185" s="7">
        <v>949</v>
      </c>
      <c r="D185" s="7">
        <v>282</v>
      </c>
      <c r="E185" s="7">
        <v>87126</v>
      </c>
      <c r="F185" s="7">
        <f>Engagement_Summary[[#This Row],[New_Followers]]-Engagement_Summary[[#This Row],[Unfollows]]</f>
        <v>667</v>
      </c>
      <c r="G185" s="10">
        <f>(Engagement_Summary[[#This Row],[New_Followers]]-Engagement_Summary[[#This Row],[Unfollows]])/Engagement_Summary[[#This Row],[Total_Followers]]</f>
        <v>7.6555792759910937E-3</v>
      </c>
      <c r="H185" s="7">
        <v>4.96</v>
      </c>
      <c r="I185" s="7">
        <v>5413</v>
      </c>
    </row>
    <row r="186" spans="1:9" x14ac:dyDescent="0.25">
      <c r="A186" s="3">
        <v>45873</v>
      </c>
      <c r="B186" s="6" t="s">
        <v>17</v>
      </c>
      <c r="C186" s="7">
        <v>640</v>
      </c>
      <c r="D186" s="7">
        <v>141</v>
      </c>
      <c r="E186" s="7">
        <v>267546</v>
      </c>
      <c r="F186" s="7">
        <f>Engagement_Summary[[#This Row],[New_Followers]]-Engagement_Summary[[#This Row],[Unfollows]]</f>
        <v>499</v>
      </c>
      <c r="G186" s="10">
        <f>(Engagement_Summary[[#This Row],[New_Followers]]-Engagement_Summary[[#This Row],[Unfollows]])/Engagement_Summary[[#This Row],[Total_Followers]]</f>
        <v>1.8650998332996943E-3</v>
      </c>
      <c r="H186" s="7">
        <v>8.58</v>
      </c>
      <c r="I186" s="7">
        <v>25058</v>
      </c>
    </row>
    <row r="187" spans="1:9" x14ac:dyDescent="0.25">
      <c r="A187" s="3">
        <v>45873</v>
      </c>
      <c r="B187" s="6" t="s">
        <v>12</v>
      </c>
      <c r="C187" s="7">
        <v>616</v>
      </c>
      <c r="D187" s="7">
        <v>93</v>
      </c>
      <c r="E187" s="7">
        <v>133082</v>
      </c>
      <c r="F187" s="7">
        <f>Engagement_Summary[[#This Row],[New_Followers]]-Engagement_Summary[[#This Row],[Unfollows]]</f>
        <v>523</v>
      </c>
      <c r="G187" s="10">
        <f>(Engagement_Summary[[#This Row],[New_Followers]]-Engagement_Summary[[#This Row],[Unfollows]])/Engagement_Summary[[#This Row],[Total_Followers]]</f>
        <v>3.9299078763469142E-3</v>
      </c>
      <c r="H187" s="7">
        <v>8.51</v>
      </c>
      <c r="I187" s="7">
        <v>18303</v>
      </c>
    </row>
    <row r="188" spans="1:9" x14ac:dyDescent="0.25">
      <c r="A188" s="3">
        <v>45880</v>
      </c>
      <c r="B188" s="6" t="s">
        <v>11</v>
      </c>
      <c r="C188" s="7">
        <v>1080</v>
      </c>
      <c r="D188" s="7">
        <v>184</v>
      </c>
      <c r="E188" s="7">
        <v>340557</v>
      </c>
      <c r="F188" s="7">
        <f>Engagement_Summary[[#This Row],[New_Followers]]-Engagement_Summary[[#This Row],[Unfollows]]</f>
        <v>896</v>
      </c>
      <c r="G188" s="10">
        <f>(Engagement_Summary[[#This Row],[New_Followers]]-Engagement_Summary[[#This Row],[Unfollows]])/Engagement_Summary[[#This Row],[Total_Followers]]</f>
        <v>2.6309839468870114E-3</v>
      </c>
      <c r="H188" s="7">
        <v>5.41</v>
      </c>
      <c r="I188" s="7">
        <v>5526</v>
      </c>
    </row>
    <row r="189" spans="1:9" x14ac:dyDescent="0.25">
      <c r="A189" s="3">
        <v>45880</v>
      </c>
      <c r="B189" s="6" t="s">
        <v>17</v>
      </c>
      <c r="C189" s="7">
        <v>938</v>
      </c>
      <c r="D189" s="7">
        <v>236</v>
      </c>
      <c r="E189" s="7">
        <v>116472</v>
      </c>
      <c r="F189" s="7">
        <f>Engagement_Summary[[#This Row],[New_Followers]]-Engagement_Summary[[#This Row],[Unfollows]]</f>
        <v>702</v>
      </c>
      <c r="G189" s="10">
        <f>(Engagement_Summary[[#This Row],[New_Followers]]-Engagement_Summary[[#This Row],[Unfollows]])/Engagement_Summary[[#This Row],[Total_Followers]]</f>
        <v>6.0271996703070265E-3</v>
      </c>
      <c r="H189" s="7">
        <v>8.7200000000000006</v>
      </c>
      <c r="I189" s="7">
        <v>17460</v>
      </c>
    </row>
    <row r="190" spans="1:9" x14ac:dyDescent="0.25">
      <c r="A190" s="3">
        <v>45880</v>
      </c>
      <c r="B190" s="6" t="s">
        <v>12</v>
      </c>
      <c r="C190" s="7">
        <v>1007</v>
      </c>
      <c r="D190" s="7">
        <v>258</v>
      </c>
      <c r="E190" s="7">
        <v>113412</v>
      </c>
      <c r="F190" s="7">
        <f>Engagement_Summary[[#This Row],[New_Followers]]-Engagement_Summary[[#This Row],[Unfollows]]</f>
        <v>749</v>
      </c>
      <c r="G190" s="10">
        <f>(Engagement_Summary[[#This Row],[New_Followers]]-Engagement_Summary[[#This Row],[Unfollows]])/Engagement_Summary[[#This Row],[Total_Followers]]</f>
        <v>6.6042394102916796E-3</v>
      </c>
      <c r="H190" s="7">
        <v>7.71</v>
      </c>
      <c r="I190" s="7">
        <v>14475</v>
      </c>
    </row>
    <row r="191" spans="1:9" x14ac:dyDescent="0.25">
      <c r="A191" s="3">
        <v>45887</v>
      </c>
      <c r="B191" s="6" t="s">
        <v>11</v>
      </c>
      <c r="C191" s="7">
        <v>541</v>
      </c>
      <c r="D191" s="7">
        <v>208</v>
      </c>
      <c r="E191" s="7">
        <v>157547</v>
      </c>
      <c r="F191" s="7">
        <f>Engagement_Summary[[#This Row],[New_Followers]]-Engagement_Summary[[#This Row],[Unfollows]]</f>
        <v>333</v>
      </c>
      <c r="G191" s="10">
        <f>(Engagement_Summary[[#This Row],[New_Followers]]-Engagement_Summary[[#This Row],[Unfollows]])/Engagement_Summary[[#This Row],[Total_Followers]]</f>
        <v>2.1136549728017671E-3</v>
      </c>
      <c r="H191" s="7">
        <v>8.35</v>
      </c>
      <c r="I191" s="7">
        <v>20162</v>
      </c>
    </row>
    <row r="192" spans="1:9" x14ac:dyDescent="0.25">
      <c r="A192" s="3">
        <v>45887</v>
      </c>
      <c r="B192" s="6" t="s">
        <v>17</v>
      </c>
      <c r="C192" s="7">
        <v>745</v>
      </c>
      <c r="D192" s="7">
        <v>98</v>
      </c>
      <c r="E192" s="7">
        <v>354816</v>
      </c>
      <c r="F192" s="7">
        <f>Engagement_Summary[[#This Row],[New_Followers]]-Engagement_Summary[[#This Row],[Unfollows]]</f>
        <v>647</v>
      </c>
      <c r="G192" s="10">
        <f>(Engagement_Summary[[#This Row],[New_Followers]]-Engagement_Summary[[#This Row],[Unfollows]])/Engagement_Summary[[#This Row],[Total_Followers]]</f>
        <v>1.823480339105339E-3</v>
      </c>
      <c r="H192" s="7">
        <v>4.03</v>
      </c>
      <c r="I192" s="7">
        <v>17103</v>
      </c>
    </row>
    <row r="193" spans="1:9" x14ac:dyDescent="0.25">
      <c r="A193" s="3">
        <v>45887</v>
      </c>
      <c r="B193" s="6" t="s">
        <v>12</v>
      </c>
      <c r="C193" s="7">
        <v>936</v>
      </c>
      <c r="D193" s="7">
        <v>97</v>
      </c>
      <c r="E193" s="7">
        <v>151799</v>
      </c>
      <c r="F193" s="7">
        <f>Engagement_Summary[[#This Row],[New_Followers]]-Engagement_Summary[[#This Row],[Unfollows]]</f>
        <v>839</v>
      </c>
      <c r="G193" s="10">
        <f>(Engagement_Summary[[#This Row],[New_Followers]]-Engagement_Summary[[#This Row],[Unfollows]])/Engagement_Summary[[#This Row],[Total_Followers]]</f>
        <v>5.5270456327116777E-3</v>
      </c>
      <c r="H193" s="7">
        <v>9.3699999999999992</v>
      </c>
      <c r="I193" s="7">
        <v>15461</v>
      </c>
    </row>
    <row r="194" spans="1:9" x14ac:dyDescent="0.25">
      <c r="A194" s="3">
        <v>45894</v>
      </c>
      <c r="B194" s="6" t="s">
        <v>11</v>
      </c>
      <c r="C194" s="7">
        <v>1183</v>
      </c>
      <c r="D194" s="7">
        <v>223</v>
      </c>
      <c r="E194" s="7">
        <v>143811</v>
      </c>
      <c r="F194" s="7">
        <f>Engagement_Summary[[#This Row],[New_Followers]]-Engagement_Summary[[#This Row],[Unfollows]]</f>
        <v>960</v>
      </c>
      <c r="G194" s="10">
        <f>(Engagement_Summary[[#This Row],[New_Followers]]-Engagement_Summary[[#This Row],[Unfollows]])/Engagement_Summary[[#This Row],[Total_Followers]]</f>
        <v>6.6754281661347186E-3</v>
      </c>
      <c r="H194" s="7">
        <v>6.07</v>
      </c>
      <c r="I194" s="7">
        <v>22103</v>
      </c>
    </row>
    <row r="195" spans="1:9" x14ac:dyDescent="0.25">
      <c r="A195" s="3">
        <v>45894</v>
      </c>
      <c r="B195" s="6" t="s">
        <v>17</v>
      </c>
      <c r="C195" s="7">
        <v>1413</v>
      </c>
      <c r="D195" s="7">
        <v>245</v>
      </c>
      <c r="E195" s="7">
        <v>296450</v>
      </c>
      <c r="F195" s="7">
        <f>Engagement_Summary[[#This Row],[New_Followers]]-Engagement_Summary[[#This Row],[Unfollows]]</f>
        <v>1168</v>
      </c>
      <c r="G195" s="10">
        <f>(Engagement_Summary[[#This Row],[New_Followers]]-Engagement_Summary[[#This Row],[Unfollows]])/Engagement_Summary[[#This Row],[Total_Followers]]</f>
        <v>3.9399561477483558E-3</v>
      </c>
      <c r="H195" s="7">
        <v>6.52</v>
      </c>
      <c r="I195" s="7">
        <v>11625</v>
      </c>
    </row>
    <row r="196" spans="1:9" x14ac:dyDescent="0.25">
      <c r="A196" s="3">
        <v>45894</v>
      </c>
      <c r="B196" s="6" t="s">
        <v>12</v>
      </c>
      <c r="C196" s="7">
        <v>791</v>
      </c>
      <c r="D196" s="7">
        <v>273</v>
      </c>
      <c r="E196" s="7">
        <v>144049</v>
      </c>
      <c r="F196" s="7">
        <f>Engagement_Summary[[#This Row],[New_Followers]]-Engagement_Summary[[#This Row],[Unfollows]]</f>
        <v>518</v>
      </c>
      <c r="G196" s="10">
        <f>(Engagement_Summary[[#This Row],[New_Followers]]-Engagement_Summary[[#This Row],[Unfollows]])/Engagement_Summary[[#This Row],[Total_Followers]]</f>
        <v>3.5959985838152297E-3</v>
      </c>
      <c r="H196" s="7">
        <v>3.08</v>
      </c>
      <c r="I196" s="7">
        <v>5281</v>
      </c>
    </row>
    <row r="197" spans="1:9" x14ac:dyDescent="0.25">
      <c r="A197" s="3">
        <v>45901</v>
      </c>
      <c r="B197" s="6" t="s">
        <v>11</v>
      </c>
      <c r="C197" s="7">
        <v>1052</v>
      </c>
      <c r="D197" s="7">
        <v>180</v>
      </c>
      <c r="E197" s="7">
        <v>272534</v>
      </c>
      <c r="F197" s="7">
        <f>Engagement_Summary[[#This Row],[New_Followers]]-Engagement_Summary[[#This Row],[Unfollows]]</f>
        <v>872</v>
      </c>
      <c r="G197" s="10">
        <f>(Engagement_Summary[[#This Row],[New_Followers]]-Engagement_Summary[[#This Row],[Unfollows]])/Engagement_Summary[[#This Row],[Total_Followers]]</f>
        <v>3.1996007837554212E-3</v>
      </c>
      <c r="H197" s="7">
        <v>5.34</v>
      </c>
      <c r="I197" s="7">
        <v>13424</v>
      </c>
    </row>
    <row r="198" spans="1:9" x14ac:dyDescent="0.25">
      <c r="A198" s="3">
        <v>45901</v>
      </c>
      <c r="B198" s="6" t="s">
        <v>17</v>
      </c>
      <c r="C198" s="7">
        <v>572</v>
      </c>
      <c r="D198" s="7">
        <v>270</v>
      </c>
      <c r="E198" s="7">
        <v>82265</v>
      </c>
      <c r="F198" s="7">
        <f>Engagement_Summary[[#This Row],[New_Followers]]-Engagement_Summary[[#This Row],[Unfollows]]</f>
        <v>302</v>
      </c>
      <c r="G198" s="10">
        <f>(Engagement_Summary[[#This Row],[New_Followers]]-Engagement_Summary[[#This Row],[Unfollows]])/Engagement_Summary[[#This Row],[Total_Followers]]</f>
        <v>3.6710630280192063E-3</v>
      </c>
      <c r="H198" s="7">
        <v>3.65</v>
      </c>
      <c r="I198" s="7">
        <v>13140</v>
      </c>
    </row>
    <row r="199" spans="1:9" x14ac:dyDescent="0.25">
      <c r="A199" s="3">
        <v>45901</v>
      </c>
      <c r="B199" s="6" t="s">
        <v>12</v>
      </c>
      <c r="C199" s="7">
        <v>503</v>
      </c>
      <c r="D199" s="7">
        <v>253</v>
      </c>
      <c r="E199" s="7">
        <v>313562</v>
      </c>
      <c r="F199" s="7">
        <f>Engagement_Summary[[#This Row],[New_Followers]]-Engagement_Summary[[#This Row],[Unfollows]]</f>
        <v>250</v>
      </c>
      <c r="G199" s="10">
        <f>(Engagement_Summary[[#This Row],[New_Followers]]-Engagement_Summary[[#This Row],[Unfollows]])/Engagement_Summary[[#This Row],[Total_Followers]]</f>
        <v>7.9729048800556194E-4</v>
      </c>
      <c r="H199" s="7">
        <v>4.18</v>
      </c>
      <c r="I199" s="7">
        <v>19538</v>
      </c>
    </row>
    <row r="200" spans="1:9" x14ac:dyDescent="0.25">
      <c r="A200" s="3">
        <v>45908</v>
      </c>
      <c r="B200" s="6" t="s">
        <v>11</v>
      </c>
      <c r="C200" s="7">
        <v>1017</v>
      </c>
      <c r="D200" s="7">
        <v>197</v>
      </c>
      <c r="E200" s="7">
        <v>89918</v>
      </c>
      <c r="F200" s="7">
        <f>Engagement_Summary[[#This Row],[New_Followers]]-Engagement_Summary[[#This Row],[Unfollows]]</f>
        <v>820</v>
      </c>
      <c r="G200" s="10">
        <f>(Engagement_Summary[[#This Row],[New_Followers]]-Engagement_Summary[[#This Row],[Unfollows]])/Engagement_Summary[[#This Row],[Total_Followers]]</f>
        <v>9.1194199159233963E-3</v>
      </c>
      <c r="H200" s="7">
        <v>3.91</v>
      </c>
      <c r="I200" s="7">
        <v>7881</v>
      </c>
    </row>
    <row r="201" spans="1:9" x14ac:dyDescent="0.25">
      <c r="A201" s="3">
        <v>45908</v>
      </c>
      <c r="B201" s="6" t="s">
        <v>17</v>
      </c>
      <c r="C201" s="7">
        <v>860</v>
      </c>
      <c r="D201" s="7">
        <v>244</v>
      </c>
      <c r="E201" s="7">
        <v>348686</v>
      </c>
      <c r="F201" s="7">
        <f>Engagement_Summary[[#This Row],[New_Followers]]-Engagement_Summary[[#This Row],[Unfollows]]</f>
        <v>616</v>
      </c>
      <c r="G201" s="10">
        <f>(Engagement_Summary[[#This Row],[New_Followers]]-Engagement_Summary[[#This Row],[Unfollows]])/Engagement_Summary[[#This Row],[Total_Followers]]</f>
        <v>1.7666324429429343E-3</v>
      </c>
      <c r="H201" s="7">
        <v>5.12</v>
      </c>
      <c r="I201" s="7">
        <v>11418</v>
      </c>
    </row>
    <row r="202" spans="1:9" x14ac:dyDescent="0.25">
      <c r="A202" s="3"/>
      <c r="B202" s="6"/>
      <c r="F202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5719-0CD2-4BD6-9DFE-2F3C536FDC1E}">
  <sheetPr>
    <tabColor rgb="FFCCFFCC"/>
  </sheetPr>
  <dimension ref="A1:I6"/>
  <sheetViews>
    <sheetView workbookViewId="0">
      <selection activeCell="C5" sqref="C5"/>
    </sheetView>
  </sheetViews>
  <sheetFormatPr defaultRowHeight="15" x14ac:dyDescent="0.25"/>
  <cols>
    <col min="1" max="1" width="18.42578125" style="1" bestFit="1" customWidth="1"/>
    <col min="2" max="2" width="12.5703125" style="7" bestFit="1" customWidth="1"/>
    <col min="3" max="3" width="11.7109375" style="7" bestFit="1" customWidth="1"/>
    <col min="4" max="4" width="16.42578125" style="1" bestFit="1" customWidth="1"/>
    <col min="5" max="5" width="15" style="7" bestFit="1" customWidth="1"/>
    <col min="6" max="7" width="20.7109375" style="1" bestFit="1" customWidth="1"/>
    <col min="8" max="9" width="21.28515625" style="1" bestFit="1" customWidth="1"/>
    <col min="10" max="16384" width="9.140625" style="1"/>
  </cols>
  <sheetData>
    <row r="1" spans="1:9" x14ac:dyDescent="0.25">
      <c r="A1" s="1" t="s">
        <v>0</v>
      </c>
      <c r="B1" s="7" t="s">
        <v>1</v>
      </c>
      <c r="C1" s="7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6" t="s">
        <v>9</v>
      </c>
      <c r="B2" s="9">
        <v>45458</v>
      </c>
      <c r="C2" s="9">
        <v>45488</v>
      </c>
      <c r="D2" s="6" t="s">
        <v>10</v>
      </c>
      <c r="E2" s="7">
        <v>175000</v>
      </c>
      <c r="F2" s="6" t="s">
        <v>11</v>
      </c>
      <c r="G2" s="6" t="s">
        <v>12</v>
      </c>
      <c r="H2" s="6" t="s">
        <v>13</v>
      </c>
      <c r="I2" s="6" t="s">
        <v>14</v>
      </c>
    </row>
    <row r="3" spans="1:9" x14ac:dyDescent="0.25">
      <c r="A3" s="6" t="s">
        <v>15</v>
      </c>
      <c r="B3" s="9">
        <v>45627</v>
      </c>
      <c r="C3" s="9">
        <v>45657</v>
      </c>
      <c r="D3" s="6" t="s">
        <v>16</v>
      </c>
      <c r="E3" s="7">
        <v>225000</v>
      </c>
      <c r="F3" s="6" t="s">
        <v>17</v>
      </c>
      <c r="G3" s="6" t="s">
        <v>12</v>
      </c>
      <c r="H3" s="6" t="s">
        <v>13</v>
      </c>
      <c r="I3" s="6" t="s">
        <v>18</v>
      </c>
    </row>
    <row r="4" spans="1:9" x14ac:dyDescent="0.25">
      <c r="A4" s="6" t="s">
        <v>19</v>
      </c>
      <c r="B4" s="9">
        <v>45667</v>
      </c>
      <c r="C4" s="9">
        <v>45698</v>
      </c>
      <c r="D4" s="6" t="s">
        <v>20</v>
      </c>
      <c r="E4" s="7">
        <v>200000</v>
      </c>
      <c r="F4" s="6" t="s">
        <v>11</v>
      </c>
      <c r="G4" s="6" t="s">
        <v>17</v>
      </c>
      <c r="H4" s="6" t="s">
        <v>21</v>
      </c>
      <c r="I4" s="6" t="s">
        <v>22</v>
      </c>
    </row>
    <row r="5" spans="1:9" x14ac:dyDescent="0.25">
      <c r="A5" s="6" t="s">
        <v>23</v>
      </c>
      <c r="B5" s="9">
        <v>45717</v>
      </c>
      <c r="C5" s="9">
        <v>45747</v>
      </c>
      <c r="D5" s="6" t="s">
        <v>24</v>
      </c>
      <c r="E5" s="7">
        <v>160000</v>
      </c>
      <c r="F5" s="6" t="s">
        <v>25</v>
      </c>
      <c r="G5" s="6" t="s">
        <v>11</v>
      </c>
      <c r="H5" s="6" t="s">
        <v>26</v>
      </c>
      <c r="I5" s="6" t="s">
        <v>27</v>
      </c>
    </row>
    <row r="6" spans="1:9" x14ac:dyDescent="0.25">
      <c r="A6" s="6"/>
      <c r="B6" s="9"/>
      <c r="C6" s="9"/>
      <c r="D6" s="6"/>
      <c r="F6" s="6"/>
      <c r="G6" s="6"/>
      <c r="H6" s="6"/>
      <c r="I6" s="6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8528-C1EA-446A-96AB-DEF6682F1162}">
  <dimension ref="A1:N484"/>
  <sheetViews>
    <sheetView workbookViewId="0">
      <selection activeCell="G36" sqref="G36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5.5703125" style="9" bestFit="1" customWidth="1"/>
    <col min="4" max="4" width="15.140625" style="1" bestFit="1" customWidth="1"/>
    <col min="5" max="5" width="41.28515625" style="1" bestFit="1" customWidth="1"/>
    <col min="6" max="6" width="7.7109375" style="7" bestFit="1" customWidth="1"/>
    <col min="7" max="7" width="9.140625" style="7"/>
    <col min="8" max="8" width="12.85546875" style="7" bestFit="1" customWidth="1"/>
    <col min="9" max="9" width="14" style="7" bestFit="1" customWidth="1"/>
    <col min="10" max="10" width="18.85546875" style="11" bestFit="1" customWidth="1"/>
    <col min="11" max="11" width="8.5703125" style="7" bestFit="1" customWidth="1"/>
    <col min="12" max="12" width="8.28515625" style="7" bestFit="1" customWidth="1"/>
    <col min="13" max="13" width="18.42578125" style="1" bestFit="1" customWidth="1"/>
    <col min="14" max="14" width="18.5703125" style="1" bestFit="1" customWidth="1"/>
    <col min="15" max="16" width="9.140625" style="1"/>
    <col min="17" max="17" width="18.5703125" style="1" bestFit="1" customWidth="1"/>
    <col min="18" max="18" width="16.140625" style="1" bestFit="1" customWidth="1"/>
    <col min="19" max="31" width="3" style="1" bestFit="1" customWidth="1"/>
    <col min="32" max="182" width="4" style="1" bestFit="1" customWidth="1"/>
    <col min="183" max="183" width="11.28515625" style="1" bestFit="1" customWidth="1"/>
    <col min="184" max="16384" width="9.140625" style="1"/>
  </cols>
  <sheetData>
    <row r="1" spans="1:14" x14ac:dyDescent="0.25">
      <c r="A1" s="1" t="s">
        <v>35</v>
      </c>
      <c r="B1" s="1" t="s">
        <v>29</v>
      </c>
      <c r="C1" s="9" t="s">
        <v>36</v>
      </c>
      <c r="D1" s="1" t="s">
        <v>37</v>
      </c>
      <c r="E1" s="1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11" t="s">
        <v>360</v>
      </c>
      <c r="K1" s="7" t="s">
        <v>43</v>
      </c>
      <c r="L1" s="7" t="s">
        <v>44</v>
      </c>
      <c r="M1" s="1" t="s">
        <v>0</v>
      </c>
      <c r="N1" s="1" t="s">
        <v>363</v>
      </c>
    </row>
    <row r="2" spans="1:14" x14ac:dyDescent="0.25">
      <c r="A2" s="6" t="s">
        <v>47</v>
      </c>
      <c r="B2" s="6" t="s">
        <v>11</v>
      </c>
      <c r="C2" s="9">
        <v>45781</v>
      </c>
      <c r="D2" s="6" t="s">
        <v>48</v>
      </c>
      <c r="E2" s="6" t="s">
        <v>49</v>
      </c>
      <c r="F2" s="7">
        <v>2414</v>
      </c>
      <c r="G2" s="7">
        <v>245</v>
      </c>
      <c r="H2" s="7">
        <v>137</v>
      </c>
      <c r="I2" s="7">
        <v>21181</v>
      </c>
      <c r="J2" s="11">
        <v>0.13200509890939993</v>
      </c>
      <c r="K2" s="7">
        <v>45292</v>
      </c>
      <c r="L2" s="7">
        <v>133</v>
      </c>
      <c r="M2" s="6" t="s">
        <v>19</v>
      </c>
      <c r="N2" s="6" t="s">
        <v>22</v>
      </c>
    </row>
    <row r="3" spans="1:14" x14ac:dyDescent="0.25">
      <c r="A3" s="6" t="s">
        <v>47</v>
      </c>
      <c r="B3" s="6" t="s">
        <v>11</v>
      </c>
      <c r="C3" s="9">
        <v>45781</v>
      </c>
      <c r="D3" s="6" t="s">
        <v>48</v>
      </c>
      <c r="E3" s="6" t="s">
        <v>49</v>
      </c>
      <c r="F3" s="7">
        <v>2414</v>
      </c>
      <c r="G3" s="7">
        <v>245</v>
      </c>
      <c r="H3" s="7">
        <v>137</v>
      </c>
      <c r="I3" s="7">
        <v>21181</v>
      </c>
      <c r="J3" s="11">
        <v>0.13200509890939993</v>
      </c>
      <c r="K3" s="7">
        <v>45292</v>
      </c>
      <c r="L3" s="7">
        <v>133</v>
      </c>
      <c r="M3" s="6" t="s">
        <v>19</v>
      </c>
      <c r="N3" s="6" t="s">
        <v>18</v>
      </c>
    </row>
    <row r="4" spans="1:14" x14ac:dyDescent="0.25">
      <c r="A4" s="6" t="s">
        <v>50</v>
      </c>
      <c r="B4" s="6" t="s">
        <v>11</v>
      </c>
      <c r="C4" s="9">
        <v>45689</v>
      </c>
      <c r="D4" s="6" t="s">
        <v>48</v>
      </c>
      <c r="E4" s="6" t="s">
        <v>51</v>
      </c>
      <c r="F4" s="7">
        <v>1934</v>
      </c>
      <c r="G4" s="7">
        <v>210</v>
      </c>
      <c r="H4" s="7">
        <v>393</v>
      </c>
      <c r="I4" s="7">
        <v>29129</v>
      </c>
      <c r="J4" s="11">
        <v>8.7095334546328396E-2</v>
      </c>
      <c r="K4" s="7">
        <v>73287</v>
      </c>
      <c r="L4" s="7">
        <v>273</v>
      </c>
      <c r="M4" s="6" t="s">
        <v>23</v>
      </c>
      <c r="N4" s="6" t="s">
        <v>26</v>
      </c>
    </row>
    <row r="5" spans="1:14" x14ac:dyDescent="0.25">
      <c r="A5" s="6" t="s">
        <v>52</v>
      </c>
      <c r="B5" s="6" t="s">
        <v>17</v>
      </c>
      <c r="C5" s="9">
        <v>45629</v>
      </c>
      <c r="D5" s="6" t="s">
        <v>53</v>
      </c>
      <c r="E5" s="6" t="s">
        <v>54</v>
      </c>
      <c r="F5" s="7">
        <v>3092</v>
      </c>
      <c r="G5" s="7">
        <v>177</v>
      </c>
      <c r="H5" s="7">
        <v>81</v>
      </c>
      <c r="I5" s="7">
        <v>47533</v>
      </c>
      <c r="J5" s="11">
        <v>7.0477352576105018E-2</v>
      </c>
      <c r="K5" s="7">
        <v>29220</v>
      </c>
      <c r="L5" s="7">
        <v>121</v>
      </c>
      <c r="M5" s="6" t="s">
        <v>19</v>
      </c>
      <c r="N5" s="6" t="s">
        <v>14</v>
      </c>
    </row>
    <row r="6" spans="1:14" x14ac:dyDescent="0.25">
      <c r="A6" s="6" t="s">
        <v>52</v>
      </c>
      <c r="B6" s="6" t="s">
        <v>17</v>
      </c>
      <c r="C6" s="9">
        <v>45629</v>
      </c>
      <c r="D6" s="6" t="s">
        <v>53</v>
      </c>
      <c r="E6" s="6" t="s">
        <v>54</v>
      </c>
      <c r="F6" s="7">
        <v>3092</v>
      </c>
      <c r="G6" s="7">
        <v>177</v>
      </c>
      <c r="H6" s="7">
        <v>81</v>
      </c>
      <c r="I6" s="7">
        <v>47533</v>
      </c>
      <c r="J6" s="11">
        <v>7.0477352576105018E-2</v>
      </c>
      <c r="K6" s="7">
        <v>29220</v>
      </c>
      <c r="L6" s="7">
        <v>121</v>
      </c>
      <c r="M6" s="6" t="s">
        <v>19</v>
      </c>
      <c r="N6" s="6" t="s">
        <v>18</v>
      </c>
    </row>
    <row r="7" spans="1:14" x14ac:dyDescent="0.25">
      <c r="A7" s="6" t="s">
        <v>55</v>
      </c>
      <c r="B7" s="6" t="s">
        <v>11</v>
      </c>
      <c r="C7" s="9">
        <v>45629</v>
      </c>
      <c r="D7" s="6" t="s">
        <v>48</v>
      </c>
      <c r="E7" s="6" t="s">
        <v>56</v>
      </c>
      <c r="F7" s="7">
        <v>3173</v>
      </c>
      <c r="G7" s="7">
        <v>229</v>
      </c>
      <c r="H7" s="7">
        <v>197</v>
      </c>
      <c r="I7" s="7">
        <v>29604</v>
      </c>
      <c r="J7" s="11">
        <v>0.1215714092690177</v>
      </c>
      <c r="K7" s="7">
        <v>21809</v>
      </c>
      <c r="L7" s="7">
        <v>272</v>
      </c>
      <c r="M7" s="6" t="s">
        <v>19</v>
      </c>
      <c r="N7" s="6" t="s">
        <v>22</v>
      </c>
    </row>
    <row r="8" spans="1:14" x14ac:dyDescent="0.25">
      <c r="A8" s="6" t="s">
        <v>55</v>
      </c>
      <c r="B8" s="6" t="s">
        <v>11</v>
      </c>
      <c r="C8" s="9">
        <v>45629</v>
      </c>
      <c r="D8" s="6" t="s">
        <v>48</v>
      </c>
      <c r="E8" s="6" t="s">
        <v>56</v>
      </c>
      <c r="F8" s="7">
        <v>3173</v>
      </c>
      <c r="G8" s="7">
        <v>229</v>
      </c>
      <c r="H8" s="7">
        <v>197</v>
      </c>
      <c r="I8" s="7">
        <v>29604</v>
      </c>
      <c r="J8" s="11">
        <v>0.1215714092690177</v>
      </c>
      <c r="K8" s="7">
        <v>21809</v>
      </c>
      <c r="L8" s="7">
        <v>272</v>
      </c>
      <c r="M8" s="6" t="s">
        <v>19</v>
      </c>
      <c r="N8" s="6" t="s">
        <v>18</v>
      </c>
    </row>
    <row r="9" spans="1:14" x14ac:dyDescent="0.25">
      <c r="A9" s="6" t="s">
        <v>57</v>
      </c>
      <c r="B9" s="6" t="s">
        <v>12</v>
      </c>
      <c r="C9" s="9">
        <v>45388</v>
      </c>
      <c r="D9" s="6" t="s">
        <v>48</v>
      </c>
      <c r="E9" s="6" t="s">
        <v>58</v>
      </c>
      <c r="F9" s="7">
        <v>2748</v>
      </c>
      <c r="G9" s="7">
        <v>145</v>
      </c>
      <c r="H9" s="7">
        <v>315</v>
      </c>
      <c r="I9" s="7">
        <v>24401</v>
      </c>
      <c r="J9" s="11">
        <v>0.1314700217204213</v>
      </c>
      <c r="K9" s="7">
        <v>61182</v>
      </c>
      <c r="L9" s="7">
        <v>200</v>
      </c>
      <c r="M9" s="6" t="s">
        <v>23</v>
      </c>
      <c r="N9" s="6" t="s">
        <v>26</v>
      </c>
    </row>
    <row r="10" spans="1:14" x14ac:dyDescent="0.25">
      <c r="A10" s="6" t="s">
        <v>57</v>
      </c>
      <c r="B10" s="6" t="s">
        <v>12</v>
      </c>
      <c r="C10" s="9">
        <v>45388</v>
      </c>
      <c r="D10" s="6" t="s">
        <v>48</v>
      </c>
      <c r="E10" s="6" t="s">
        <v>58</v>
      </c>
      <c r="F10" s="7">
        <v>2748</v>
      </c>
      <c r="G10" s="7">
        <v>145</v>
      </c>
      <c r="H10" s="7">
        <v>315</v>
      </c>
      <c r="I10" s="7">
        <v>24401</v>
      </c>
      <c r="J10" s="11">
        <v>0.1314700217204213</v>
      </c>
      <c r="K10" s="7">
        <v>61182</v>
      </c>
      <c r="L10" s="7">
        <v>200</v>
      </c>
      <c r="M10" s="6" t="s">
        <v>23</v>
      </c>
      <c r="N10" s="6" t="s">
        <v>13</v>
      </c>
    </row>
    <row r="11" spans="1:14" x14ac:dyDescent="0.25">
      <c r="A11" s="6" t="s">
        <v>59</v>
      </c>
      <c r="B11" s="6" t="s">
        <v>12</v>
      </c>
      <c r="C11" s="9">
        <v>45456</v>
      </c>
      <c r="D11" s="6" t="s">
        <v>48</v>
      </c>
      <c r="E11" s="6" t="s">
        <v>60</v>
      </c>
      <c r="F11" s="7">
        <v>3882</v>
      </c>
      <c r="G11" s="7">
        <v>239</v>
      </c>
      <c r="H11" s="7">
        <v>275</v>
      </c>
      <c r="I11" s="7">
        <v>58748</v>
      </c>
      <c r="J11" s="11">
        <v>7.4828079253761837E-2</v>
      </c>
      <c r="K11" s="7">
        <v>44646</v>
      </c>
      <c r="L11" s="7">
        <v>149</v>
      </c>
      <c r="M11" s="6" t="s">
        <v>23</v>
      </c>
      <c r="N11" s="6" t="s">
        <v>26</v>
      </c>
    </row>
    <row r="12" spans="1:14" x14ac:dyDescent="0.25">
      <c r="A12" s="6" t="s">
        <v>59</v>
      </c>
      <c r="B12" s="6" t="s">
        <v>12</v>
      </c>
      <c r="C12" s="9">
        <v>45456</v>
      </c>
      <c r="D12" s="6" t="s">
        <v>48</v>
      </c>
      <c r="E12" s="6" t="s">
        <v>60</v>
      </c>
      <c r="F12" s="7">
        <v>3882</v>
      </c>
      <c r="G12" s="7">
        <v>239</v>
      </c>
      <c r="H12" s="7">
        <v>275</v>
      </c>
      <c r="I12" s="7">
        <v>58748</v>
      </c>
      <c r="J12" s="11">
        <v>7.4828079253761837E-2</v>
      </c>
      <c r="K12" s="7">
        <v>44646</v>
      </c>
      <c r="L12" s="7">
        <v>149</v>
      </c>
      <c r="M12" s="6" t="s">
        <v>23</v>
      </c>
      <c r="N12" s="6" t="s">
        <v>13</v>
      </c>
    </row>
    <row r="13" spans="1:14" x14ac:dyDescent="0.25">
      <c r="A13" s="6" t="s">
        <v>61</v>
      </c>
      <c r="B13" s="6" t="s">
        <v>17</v>
      </c>
      <c r="C13" s="9">
        <v>45645</v>
      </c>
      <c r="D13" s="6" t="s">
        <v>53</v>
      </c>
      <c r="E13" s="6" t="s">
        <v>62</v>
      </c>
      <c r="F13" s="7">
        <v>4674</v>
      </c>
      <c r="G13" s="7">
        <v>409</v>
      </c>
      <c r="H13" s="7">
        <v>327</v>
      </c>
      <c r="I13" s="7">
        <v>20756</v>
      </c>
      <c r="J13" s="11">
        <v>0.26064752360763155</v>
      </c>
      <c r="K13" s="7">
        <v>63599</v>
      </c>
      <c r="L13" s="7">
        <v>212</v>
      </c>
      <c r="M13" s="6" t="s">
        <v>19</v>
      </c>
      <c r="N13" s="6" t="s">
        <v>22</v>
      </c>
    </row>
    <row r="14" spans="1:14" x14ac:dyDescent="0.25">
      <c r="A14" s="6" t="s">
        <v>61</v>
      </c>
      <c r="B14" s="6" t="s">
        <v>17</v>
      </c>
      <c r="C14" s="9">
        <v>45645</v>
      </c>
      <c r="D14" s="6" t="s">
        <v>53</v>
      </c>
      <c r="E14" s="6" t="s">
        <v>62</v>
      </c>
      <c r="F14" s="7">
        <v>4674</v>
      </c>
      <c r="G14" s="7">
        <v>409</v>
      </c>
      <c r="H14" s="7">
        <v>327</v>
      </c>
      <c r="I14" s="7">
        <v>20756</v>
      </c>
      <c r="J14" s="11">
        <v>0.26064752360763155</v>
      </c>
      <c r="K14" s="7">
        <v>63599</v>
      </c>
      <c r="L14" s="7">
        <v>212</v>
      </c>
      <c r="M14" s="6" t="s">
        <v>19</v>
      </c>
      <c r="N14" s="6" t="s">
        <v>18</v>
      </c>
    </row>
    <row r="15" spans="1:14" x14ac:dyDescent="0.25">
      <c r="A15" s="6" t="s">
        <v>63</v>
      </c>
      <c r="B15" s="6" t="s">
        <v>17</v>
      </c>
      <c r="C15" s="9">
        <v>45421</v>
      </c>
      <c r="D15" s="6" t="s">
        <v>53</v>
      </c>
      <c r="E15" s="6" t="s">
        <v>56</v>
      </c>
      <c r="F15" s="7">
        <v>1428</v>
      </c>
      <c r="G15" s="7">
        <v>347</v>
      </c>
      <c r="H15" s="7">
        <v>67</v>
      </c>
      <c r="I15" s="7">
        <v>21148</v>
      </c>
      <c r="J15" s="11">
        <v>8.7100435029317191E-2</v>
      </c>
      <c r="K15" s="7">
        <v>19712</v>
      </c>
      <c r="L15" s="7">
        <v>120</v>
      </c>
      <c r="M15" s="6" t="s">
        <v>19</v>
      </c>
      <c r="N15" s="6" t="s">
        <v>26</v>
      </c>
    </row>
    <row r="16" spans="1:14" x14ac:dyDescent="0.25">
      <c r="A16" s="6" t="s">
        <v>63</v>
      </c>
      <c r="B16" s="6" t="s">
        <v>17</v>
      </c>
      <c r="C16" s="9">
        <v>45421</v>
      </c>
      <c r="D16" s="6" t="s">
        <v>53</v>
      </c>
      <c r="E16" s="6" t="s">
        <v>56</v>
      </c>
      <c r="F16" s="7">
        <v>1428</v>
      </c>
      <c r="G16" s="7">
        <v>347</v>
      </c>
      <c r="H16" s="7">
        <v>67</v>
      </c>
      <c r="I16" s="7">
        <v>21148</v>
      </c>
      <c r="J16" s="11">
        <v>8.7100435029317191E-2</v>
      </c>
      <c r="K16" s="7">
        <v>19712</v>
      </c>
      <c r="L16" s="7">
        <v>120</v>
      </c>
      <c r="M16" s="6" t="s">
        <v>19</v>
      </c>
      <c r="N16" s="6" t="s">
        <v>14</v>
      </c>
    </row>
    <row r="17" spans="1:14" x14ac:dyDescent="0.25">
      <c r="A17" s="6" t="s">
        <v>64</v>
      </c>
      <c r="B17" s="6" t="s">
        <v>17</v>
      </c>
      <c r="C17" s="9">
        <v>45823</v>
      </c>
      <c r="D17" s="6" t="s">
        <v>48</v>
      </c>
      <c r="E17" s="6" t="s">
        <v>65</v>
      </c>
      <c r="F17" s="7">
        <v>4432</v>
      </c>
      <c r="G17" s="7">
        <v>223</v>
      </c>
      <c r="H17" s="7">
        <v>299</v>
      </c>
      <c r="I17" s="7">
        <v>59016</v>
      </c>
      <c r="J17" s="11">
        <v>8.3943337400027115E-2</v>
      </c>
      <c r="K17" s="7">
        <v>21742</v>
      </c>
      <c r="L17" s="7">
        <v>171</v>
      </c>
      <c r="M17" s="6" t="s">
        <v>19</v>
      </c>
      <c r="N17" s="6" t="s">
        <v>18</v>
      </c>
    </row>
    <row r="18" spans="1:14" x14ac:dyDescent="0.25">
      <c r="A18" s="6" t="s">
        <v>66</v>
      </c>
      <c r="B18" s="6" t="s">
        <v>17</v>
      </c>
      <c r="C18" s="9">
        <v>45630</v>
      </c>
      <c r="D18" s="6" t="s">
        <v>48</v>
      </c>
      <c r="E18" s="6" t="s">
        <v>56</v>
      </c>
      <c r="F18" s="7">
        <v>2357</v>
      </c>
      <c r="G18" s="7">
        <v>274</v>
      </c>
      <c r="H18" s="7">
        <v>172</v>
      </c>
      <c r="I18" s="7">
        <v>21566</v>
      </c>
      <c r="J18" s="11">
        <v>0.12997310581470833</v>
      </c>
      <c r="K18" s="7">
        <v>66829</v>
      </c>
      <c r="L18" s="7">
        <v>284</v>
      </c>
      <c r="M18" s="6" t="s">
        <v>19</v>
      </c>
      <c r="N18" s="6" t="s">
        <v>18</v>
      </c>
    </row>
    <row r="19" spans="1:14" x14ac:dyDescent="0.25">
      <c r="A19" s="6" t="s">
        <v>67</v>
      </c>
      <c r="B19" s="6" t="s">
        <v>17</v>
      </c>
      <c r="C19" s="9">
        <v>45357</v>
      </c>
      <c r="D19" s="6" t="s">
        <v>48</v>
      </c>
      <c r="E19" s="6" t="s">
        <v>49</v>
      </c>
      <c r="F19" s="7">
        <v>1971</v>
      </c>
      <c r="G19" s="7">
        <v>370</v>
      </c>
      <c r="H19" s="7">
        <v>306</v>
      </c>
      <c r="I19" s="7">
        <v>31316</v>
      </c>
      <c r="J19" s="11">
        <v>8.4525482181632389E-2</v>
      </c>
      <c r="K19" s="7">
        <v>27897</v>
      </c>
      <c r="L19" s="7">
        <v>88</v>
      </c>
      <c r="M19" s="6" t="s">
        <v>23</v>
      </c>
      <c r="N19" s="6" t="s">
        <v>22</v>
      </c>
    </row>
    <row r="20" spans="1:14" x14ac:dyDescent="0.25">
      <c r="A20" s="6" t="s">
        <v>68</v>
      </c>
      <c r="B20" s="6" t="s">
        <v>11</v>
      </c>
      <c r="C20" s="9">
        <v>45426</v>
      </c>
      <c r="D20" s="6" t="s">
        <v>48</v>
      </c>
      <c r="E20" s="6" t="s">
        <v>49</v>
      </c>
      <c r="F20" s="7">
        <v>1485</v>
      </c>
      <c r="G20" s="7">
        <v>353</v>
      </c>
      <c r="H20" s="7">
        <v>244</v>
      </c>
      <c r="I20" s="7">
        <v>38419</v>
      </c>
      <c r="J20" s="11">
        <v>5.4191936281527367E-2</v>
      </c>
      <c r="K20" s="7">
        <v>38556</v>
      </c>
      <c r="L20" s="7">
        <v>86</v>
      </c>
      <c r="M20" s="6" t="s">
        <v>19</v>
      </c>
      <c r="N20" s="6" t="s">
        <v>22</v>
      </c>
    </row>
    <row r="21" spans="1:14" x14ac:dyDescent="0.25">
      <c r="A21" s="6" t="s">
        <v>68</v>
      </c>
      <c r="B21" s="6" t="s">
        <v>11</v>
      </c>
      <c r="C21" s="9">
        <v>45426</v>
      </c>
      <c r="D21" s="6" t="s">
        <v>48</v>
      </c>
      <c r="E21" s="6" t="s">
        <v>49</v>
      </c>
      <c r="F21" s="7">
        <v>1485</v>
      </c>
      <c r="G21" s="7">
        <v>353</v>
      </c>
      <c r="H21" s="7">
        <v>244</v>
      </c>
      <c r="I21" s="7">
        <v>38419</v>
      </c>
      <c r="J21" s="11">
        <v>5.4191936281527367E-2</v>
      </c>
      <c r="K21" s="7">
        <v>38556</v>
      </c>
      <c r="L21" s="7">
        <v>86</v>
      </c>
      <c r="M21" s="6" t="s">
        <v>19</v>
      </c>
      <c r="N21" s="6" t="s">
        <v>18</v>
      </c>
    </row>
    <row r="22" spans="1:14" x14ac:dyDescent="0.25">
      <c r="A22" s="6" t="s">
        <v>69</v>
      </c>
      <c r="B22" s="6" t="s">
        <v>17</v>
      </c>
      <c r="C22" s="9">
        <v>45826</v>
      </c>
      <c r="D22" s="6" t="s">
        <v>53</v>
      </c>
      <c r="E22" s="6" t="s">
        <v>49</v>
      </c>
      <c r="F22" s="7">
        <v>3956</v>
      </c>
      <c r="G22" s="7">
        <v>319</v>
      </c>
      <c r="H22" s="7">
        <v>61</v>
      </c>
      <c r="I22" s="7">
        <v>58162</v>
      </c>
      <c r="J22" s="11">
        <v>7.4550393727863554E-2</v>
      </c>
      <c r="K22" s="7">
        <v>28720</v>
      </c>
      <c r="L22" s="7">
        <v>213</v>
      </c>
      <c r="M22" s="6" t="s">
        <v>19</v>
      </c>
      <c r="N22" s="6" t="s">
        <v>14</v>
      </c>
    </row>
    <row r="23" spans="1:14" x14ac:dyDescent="0.25">
      <c r="A23" s="6" t="s">
        <v>69</v>
      </c>
      <c r="B23" s="6" t="s">
        <v>17</v>
      </c>
      <c r="C23" s="9">
        <v>45826</v>
      </c>
      <c r="D23" s="6" t="s">
        <v>53</v>
      </c>
      <c r="E23" s="6" t="s">
        <v>49</v>
      </c>
      <c r="F23" s="7">
        <v>3956</v>
      </c>
      <c r="G23" s="7">
        <v>319</v>
      </c>
      <c r="H23" s="7">
        <v>61</v>
      </c>
      <c r="I23" s="7">
        <v>58162</v>
      </c>
      <c r="J23" s="11">
        <v>7.4550393727863554E-2</v>
      </c>
      <c r="K23" s="7">
        <v>28720</v>
      </c>
      <c r="L23" s="7">
        <v>213</v>
      </c>
      <c r="M23" s="6" t="s">
        <v>19</v>
      </c>
      <c r="N23" s="6" t="s">
        <v>18</v>
      </c>
    </row>
    <row r="24" spans="1:14" x14ac:dyDescent="0.25">
      <c r="A24" s="6" t="s">
        <v>70</v>
      </c>
      <c r="B24" s="6" t="s">
        <v>17</v>
      </c>
      <c r="C24" s="9">
        <v>45573</v>
      </c>
      <c r="D24" s="6" t="s">
        <v>48</v>
      </c>
      <c r="E24" s="6" t="s">
        <v>71</v>
      </c>
      <c r="F24" s="7">
        <v>2460</v>
      </c>
      <c r="G24" s="7">
        <v>409</v>
      </c>
      <c r="H24" s="7">
        <v>253</v>
      </c>
      <c r="I24" s="7">
        <v>36702</v>
      </c>
      <c r="J24" s="11">
        <v>8.5063484278785892E-2</v>
      </c>
      <c r="K24" s="7">
        <v>46122</v>
      </c>
      <c r="L24" s="7">
        <v>264</v>
      </c>
      <c r="M24" s="6" t="s">
        <v>19</v>
      </c>
      <c r="N24" s="6" t="s">
        <v>18</v>
      </c>
    </row>
    <row r="25" spans="1:14" x14ac:dyDescent="0.25">
      <c r="A25" s="6" t="s">
        <v>72</v>
      </c>
      <c r="B25" s="6" t="s">
        <v>17</v>
      </c>
      <c r="C25" s="9">
        <v>45418</v>
      </c>
      <c r="D25" s="6" t="s">
        <v>48</v>
      </c>
      <c r="E25" s="6" t="s">
        <v>73</v>
      </c>
      <c r="F25" s="7">
        <v>3476</v>
      </c>
      <c r="G25" s="7">
        <v>355</v>
      </c>
      <c r="H25" s="7">
        <v>396</v>
      </c>
      <c r="I25" s="7">
        <v>37492</v>
      </c>
      <c r="J25" s="11">
        <v>0.11274405206444041</v>
      </c>
      <c r="K25" s="7">
        <v>27285</v>
      </c>
      <c r="L25" s="7">
        <v>179</v>
      </c>
      <c r="M25" s="6" t="s">
        <v>19</v>
      </c>
      <c r="N25" s="6" t="s">
        <v>18</v>
      </c>
    </row>
    <row r="26" spans="1:14" x14ac:dyDescent="0.25">
      <c r="A26" s="6" t="s">
        <v>74</v>
      </c>
      <c r="B26" s="6" t="s">
        <v>17</v>
      </c>
      <c r="C26" s="9">
        <v>45655</v>
      </c>
      <c r="D26" s="6" t="s">
        <v>53</v>
      </c>
      <c r="E26" s="6" t="s">
        <v>54</v>
      </c>
      <c r="F26" s="7">
        <v>4049</v>
      </c>
      <c r="G26" s="7">
        <v>377</v>
      </c>
      <c r="H26" s="7">
        <v>94</v>
      </c>
      <c r="I26" s="7">
        <v>48182</v>
      </c>
      <c r="J26" s="11">
        <v>9.3810966751068869E-2</v>
      </c>
      <c r="K26" s="7">
        <v>42875</v>
      </c>
      <c r="L26" s="7">
        <v>172</v>
      </c>
      <c r="M26" s="6" t="s">
        <v>19</v>
      </c>
      <c r="N26" s="6" t="s">
        <v>14</v>
      </c>
    </row>
    <row r="27" spans="1:14" x14ac:dyDescent="0.25">
      <c r="A27" s="6" t="s">
        <v>74</v>
      </c>
      <c r="B27" s="6" t="s">
        <v>17</v>
      </c>
      <c r="C27" s="9">
        <v>45655</v>
      </c>
      <c r="D27" s="6" t="s">
        <v>53</v>
      </c>
      <c r="E27" s="6" t="s">
        <v>54</v>
      </c>
      <c r="F27" s="7">
        <v>4049</v>
      </c>
      <c r="G27" s="7">
        <v>377</v>
      </c>
      <c r="H27" s="7">
        <v>94</v>
      </c>
      <c r="I27" s="7">
        <v>48182</v>
      </c>
      <c r="J27" s="11">
        <v>9.3810966751068869E-2</v>
      </c>
      <c r="K27" s="7">
        <v>42875</v>
      </c>
      <c r="L27" s="7">
        <v>172</v>
      </c>
      <c r="M27" s="6" t="s">
        <v>19</v>
      </c>
      <c r="N27" s="6" t="s">
        <v>18</v>
      </c>
    </row>
    <row r="28" spans="1:14" x14ac:dyDescent="0.25">
      <c r="A28" s="6" t="s">
        <v>75</v>
      </c>
      <c r="B28" s="6" t="s">
        <v>17</v>
      </c>
      <c r="C28" s="9">
        <v>45453</v>
      </c>
      <c r="D28" s="6" t="s">
        <v>48</v>
      </c>
      <c r="E28" s="6" t="s">
        <v>60</v>
      </c>
      <c r="F28" s="7">
        <v>1514</v>
      </c>
      <c r="G28" s="7">
        <v>164</v>
      </c>
      <c r="H28" s="7">
        <v>275</v>
      </c>
      <c r="I28" s="7">
        <v>41364</v>
      </c>
      <c r="J28" s="11">
        <v>4.7214969538729328E-2</v>
      </c>
      <c r="K28" s="7">
        <v>44389</v>
      </c>
      <c r="L28" s="7">
        <v>83</v>
      </c>
      <c r="M28" s="6" t="s">
        <v>19</v>
      </c>
      <c r="N28" s="6" t="s">
        <v>18</v>
      </c>
    </row>
    <row r="29" spans="1:14" x14ac:dyDescent="0.25">
      <c r="A29" s="6" t="s">
        <v>76</v>
      </c>
      <c r="B29" s="6" t="s">
        <v>11</v>
      </c>
      <c r="C29" s="9">
        <v>45325</v>
      </c>
      <c r="D29" s="6" t="s">
        <v>53</v>
      </c>
      <c r="E29" s="6" t="s">
        <v>58</v>
      </c>
      <c r="F29" s="7">
        <v>4281</v>
      </c>
      <c r="G29" s="7">
        <v>101</v>
      </c>
      <c r="H29" s="7">
        <v>163</v>
      </c>
      <c r="I29" s="7">
        <v>32278</v>
      </c>
      <c r="J29" s="11">
        <v>0.1408079806679472</v>
      </c>
      <c r="K29" s="7">
        <v>53382</v>
      </c>
      <c r="L29" s="7">
        <v>235</v>
      </c>
      <c r="M29" s="6" t="s">
        <v>15</v>
      </c>
      <c r="N29" s="6" t="s">
        <v>18</v>
      </c>
    </row>
    <row r="30" spans="1:14" x14ac:dyDescent="0.25">
      <c r="A30" s="6" t="s">
        <v>77</v>
      </c>
      <c r="B30" s="6" t="s">
        <v>12</v>
      </c>
      <c r="C30" s="9">
        <v>45458</v>
      </c>
      <c r="D30" s="6" t="s">
        <v>78</v>
      </c>
      <c r="E30" s="6" t="s">
        <v>62</v>
      </c>
      <c r="F30" s="7">
        <v>1751</v>
      </c>
      <c r="G30" s="7">
        <v>143</v>
      </c>
      <c r="H30" s="7">
        <v>151</v>
      </c>
      <c r="I30" s="7">
        <v>31826</v>
      </c>
      <c r="J30" s="11">
        <v>6.4255640042732362E-2</v>
      </c>
      <c r="K30" s="7">
        <v>47729</v>
      </c>
      <c r="L30" s="7">
        <v>95</v>
      </c>
      <c r="M30" s="6" t="s">
        <v>9</v>
      </c>
      <c r="N30" s="6" t="s">
        <v>26</v>
      </c>
    </row>
    <row r="31" spans="1:14" x14ac:dyDescent="0.25">
      <c r="A31" s="6" t="s">
        <v>77</v>
      </c>
      <c r="B31" s="6" t="s">
        <v>12</v>
      </c>
      <c r="C31" s="9">
        <v>45458</v>
      </c>
      <c r="D31" s="6" t="s">
        <v>78</v>
      </c>
      <c r="E31" s="6" t="s">
        <v>62</v>
      </c>
      <c r="F31" s="7">
        <v>1751</v>
      </c>
      <c r="G31" s="7">
        <v>143</v>
      </c>
      <c r="H31" s="7">
        <v>151</v>
      </c>
      <c r="I31" s="7">
        <v>31826</v>
      </c>
      <c r="J31" s="11">
        <v>6.4255640042732362E-2</v>
      </c>
      <c r="K31" s="7">
        <v>47729</v>
      </c>
      <c r="L31" s="7">
        <v>95</v>
      </c>
      <c r="M31" s="6" t="s">
        <v>9</v>
      </c>
      <c r="N31" s="6" t="s">
        <v>22</v>
      </c>
    </row>
    <row r="32" spans="1:14" x14ac:dyDescent="0.25">
      <c r="A32" s="6" t="s">
        <v>79</v>
      </c>
      <c r="B32" s="6" t="s">
        <v>11</v>
      </c>
      <c r="C32" s="9">
        <v>45478</v>
      </c>
      <c r="D32" s="6" t="s">
        <v>48</v>
      </c>
      <c r="E32" s="6" t="s">
        <v>73</v>
      </c>
      <c r="F32" s="7">
        <v>3753</v>
      </c>
      <c r="G32" s="7">
        <v>411</v>
      </c>
      <c r="H32" s="7">
        <v>308</v>
      </c>
      <c r="I32" s="7">
        <v>29138</v>
      </c>
      <c r="J32" s="11">
        <v>0.15347655981879332</v>
      </c>
      <c r="K32" s="7">
        <v>27678</v>
      </c>
      <c r="L32" s="7">
        <v>90</v>
      </c>
      <c r="M32" s="6" t="s">
        <v>23</v>
      </c>
      <c r="N32" s="6" t="s">
        <v>26</v>
      </c>
    </row>
    <row r="33" spans="1:14" x14ac:dyDescent="0.25">
      <c r="A33" s="6" t="s">
        <v>80</v>
      </c>
      <c r="B33" s="6" t="s">
        <v>11</v>
      </c>
      <c r="C33" s="9">
        <v>45603</v>
      </c>
      <c r="D33" s="6" t="s">
        <v>53</v>
      </c>
      <c r="E33" s="6" t="s">
        <v>56</v>
      </c>
      <c r="F33" s="7">
        <v>1678</v>
      </c>
      <c r="G33" s="7">
        <v>423</v>
      </c>
      <c r="H33" s="7">
        <v>323</v>
      </c>
      <c r="I33" s="7">
        <v>55668</v>
      </c>
      <c r="J33" s="11">
        <v>4.3543867212761371E-2</v>
      </c>
      <c r="K33" s="7">
        <v>37945</v>
      </c>
      <c r="L33" s="7">
        <v>230</v>
      </c>
      <c r="M33" s="6" t="s">
        <v>15</v>
      </c>
      <c r="N33" s="6" t="s">
        <v>18</v>
      </c>
    </row>
    <row r="34" spans="1:14" x14ac:dyDescent="0.25">
      <c r="A34" s="6" t="s">
        <v>81</v>
      </c>
      <c r="B34" s="6" t="s">
        <v>11</v>
      </c>
      <c r="C34" s="9">
        <v>45823</v>
      </c>
      <c r="D34" s="6" t="s">
        <v>48</v>
      </c>
      <c r="E34" s="6" t="s">
        <v>60</v>
      </c>
      <c r="F34" s="7">
        <v>4896</v>
      </c>
      <c r="G34" s="7">
        <v>466</v>
      </c>
      <c r="H34" s="7">
        <v>233</v>
      </c>
      <c r="I34" s="7">
        <v>28621</v>
      </c>
      <c r="J34" s="11">
        <v>0.19548583208133888</v>
      </c>
      <c r="K34" s="7">
        <v>34270</v>
      </c>
      <c r="L34" s="7">
        <v>84</v>
      </c>
      <c r="M34" s="6" t="s">
        <v>19</v>
      </c>
      <c r="N34" s="6" t="s">
        <v>22</v>
      </c>
    </row>
    <row r="35" spans="1:14" x14ac:dyDescent="0.25">
      <c r="A35" s="6" t="s">
        <v>81</v>
      </c>
      <c r="B35" s="6" t="s">
        <v>11</v>
      </c>
      <c r="C35" s="9">
        <v>45823</v>
      </c>
      <c r="D35" s="6" t="s">
        <v>48</v>
      </c>
      <c r="E35" s="6" t="s">
        <v>60</v>
      </c>
      <c r="F35" s="7">
        <v>4896</v>
      </c>
      <c r="G35" s="7">
        <v>466</v>
      </c>
      <c r="H35" s="7">
        <v>233</v>
      </c>
      <c r="I35" s="7">
        <v>28621</v>
      </c>
      <c r="J35" s="11">
        <v>0.19548583208133888</v>
      </c>
      <c r="K35" s="7">
        <v>34270</v>
      </c>
      <c r="L35" s="7">
        <v>84</v>
      </c>
      <c r="M35" s="6" t="s">
        <v>19</v>
      </c>
      <c r="N35" s="6" t="s">
        <v>18</v>
      </c>
    </row>
    <row r="36" spans="1:14" x14ac:dyDescent="0.25">
      <c r="A36" s="6" t="s">
        <v>82</v>
      </c>
      <c r="B36" s="6" t="s">
        <v>12</v>
      </c>
      <c r="C36" s="9">
        <v>45452</v>
      </c>
      <c r="D36" s="6" t="s">
        <v>78</v>
      </c>
      <c r="E36" s="6" t="s">
        <v>71</v>
      </c>
      <c r="F36" s="7">
        <v>2786</v>
      </c>
      <c r="G36" s="7">
        <v>368</v>
      </c>
      <c r="H36" s="7">
        <v>208</v>
      </c>
      <c r="I36" s="7">
        <v>42000</v>
      </c>
      <c r="J36" s="11">
        <v>8.0047619047619048E-2</v>
      </c>
      <c r="K36" s="7">
        <v>39967</v>
      </c>
      <c r="L36" s="7">
        <v>103</v>
      </c>
      <c r="M36" s="6" t="s">
        <v>9</v>
      </c>
      <c r="N36" s="6" t="s">
        <v>26</v>
      </c>
    </row>
    <row r="37" spans="1:14" x14ac:dyDescent="0.25">
      <c r="A37" s="6" t="s">
        <v>82</v>
      </c>
      <c r="B37" s="6" t="s">
        <v>12</v>
      </c>
      <c r="C37" s="9">
        <v>45452</v>
      </c>
      <c r="D37" s="6" t="s">
        <v>78</v>
      </c>
      <c r="E37" s="6" t="s">
        <v>71</v>
      </c>
      <c r="F37" s="7">
        <v>2786</v>
      </c>
      <c r="G37" s="7">
        <v>368</v>
      </c>
      <c r="H37" s="7">
        <v>208</v>
      </c>
      <c r="I37" s="7">
        <v>42000</v>
      </c>
      <c r="J37" s="11">
        <v>8.0047619047619048E-2</v>
      </c>
      <c r="K37" s="7">
        <v>39967</v>
      </c>
      <c r="L37" s="7">
        <v>103</v>
      </c>
      <c r="M37" s="6" t="s">
        <v>9</v>
      </c>
      <c r="N37" s="6" t="s">
        <v>22</v>
      </c>
    </row>
    <row r="38" spans="1:14" x14ac:dyDescent="0.25">
      <c r="A38" s="6" t="s">
        <v>83</v>
      </c>
      <c r="B38" s="6" t="s">
        <v>17</v>
      </c>
      <c r="C38" s="9">
        <v>45583</v>
      </c>
      <c r="D38" s="6" t="s">
        <v>48</v>
      </c>
      <c r="E38" s="6" t="s">
        <v>54</v>
      </c>
      <c r="F38" s="7">
        <v>2607</v>
      </c>
      <c r="G38" s="7">
        <v>379</v>
      </c>
      <c r="H38" s="7">
        <v>180</v>
      </c>
      <c r="I38" s="7">
        <v>28712</v>
      </c>
      <c r="J38" s="11">
        <v>0.11026748397882419</v>
      </c>
      <c r="K38" s="7">
        <v>61620</v>
      </c>
      <c r="L38" s="7">
        <v>174</v>
      </c>
      <c r="M38" s="6" t="s">
        <v>23</v>
      </c>
      <c r="N38" s="6" t="s">
        <v>22</v>
      </c>
    </row>
    <row r="39" spans="1:14" x14ac:dyDescent="0.25">
      <c r="A39" s="6" t="s">
        <v>84</v>
      </c>
      <c r="B39" s="6" t="s">
        <v>12</v>
      </c>
      <c r="C39" s="9">
        <v>45575</v>
      </c>
      <c r="D39" s="6" t="s">
        <v>78</v>
      </c>
      <c r="E39" s="6" t="s">
        <v>71</v>
      </c>
      <c r="F39" s="7">
        <v>4013</v>
      </c>
      <c r="G39" s="7">
        <v>320</v>
      </c>
      <c r="H39" s="7">
        <v>92</v>
      </c>
      <c r="I39" s="7">
        <v>54605</v>
      </c>
      <c r="J39" s="11">
        <v>8.1036535115831879E-2</v>
      </c>
      <c r="K39" s="7">
        <v>60169</v>
      </c>
      <c r="L39" s="7">
        <v>232</v>
      </c>
      <c r="M39" s="6" t="s">
        <v>9</v>
      </c>
      <c r="N39" s="6" t="s">
        <v>26</v>
      </c>
    </row>
    <row r="40" spans="1:14" x14ac:dyDescent="0.25">
      <c r="A40" s="6" t="s">
        <v>84</v>
      </c>
      <c r="B40" s="6" t="s">
        <v>12</v>
      </c>
      <c r="C40" s="9">
        <v>45575</v>
      </c>
      <c r="D40" s="6" t="s">
        <v>78</v>
      </c>
      <c r="E40" s="6" t="s">
        <v>71</v>
      </c>
      <c r="F40" s="7">
        <v>4013</v>
      </c>
      <c r="G40" s="7">
        <v>320</v>
      </c>
      <c r="H40" s="7">
        <v>92</v>
      </c>
      <c r="I40" s="7">
        <v>54605</v>
      </c>
      <c r="J40" s="11">
        <v>8.1036535115831879E-2</v>
      </c>
      <c r="K40" s="7">
        <v>60169</v>
      </c>
      <c r="L40" s="7">
        <v>232</v>
      </c>
      <c r="M40" s="6" t="s">
        <v>9</v>
      </c>
      <c r="N40" s="6" t="s">
        <v>22</v>
      </c>
    </row>
    <row r="41" spans="1:14" x14ac:dyDescent="0.25">
      <c r="A41" s="6" t="s">
        <v>85</v>
      </c>
      <c r="B41" s="6" t="s">
        <v>17</v>
      </c>
      <c r="C41" s="9">
        <v>45791</v>
      </c>
      <c r="D41" s="6" t="s">
        <v>53</v>
      </c>
      <c r="E41" s="6" t="s">
        <v>71</v>
      </c>
      <c r="F41" s="7">
        <v>2707</v>
      </c>
      <c r="G41" s="7">
        <v>103</v>
      </c>
      <c r="H41" s="7">
        <v>51</v>
      </c>
      <c r="I41" s="7">
        <v>55302</v>
      </c>
      <c r="J41" s="11">
        <v>5.173411449857148E-2</v>
      </c>
      <c r="K41" s="7">
        <v>18801</v>
      </c>
      <c r="L41" s="7">
        <v>147</v>
      </c>
      <c r="M41" s="6" t="s">
        <v>19</v>
      </c>
      <c r="N41" s="6" t="s">
        <v>26</v>
      </c>
    </row>
    <row r="42" spans="1:14" x14ac:dyDescent="0.25">
      <c r="A42" s="6" t="s">
        <v>85</v>
      </c>
      <c r="B42" s="6" t="s">
        <v>17</v>
      </c>
      <c r="C42" s="9">
        <v>45791</v>
      </c>
      <c r="D42" s="6" t="s">
        <v>53</v>
      </c>
      <c r="E42" s="6" t="s">
        <v>71</v>
      </c>
      <c r="F42" s="7">
        <v>2707</v>
      </c>
      <c r="G42" s="7">
        <v>103</v>
      </c>
      <c r="H42" s="7">
        <v>51</v>
      </c>
      <c r="I42" s="7">
        <v>55302</v>
      </c>
      <c r="J42" s="11">
        <v>5.173411449857148E-2</v>
      </c>
      <c r="K42" s="7">
        <v>18801</v>
      </c>
      <c r="L42" s="7">
        <v>147</v>
      </c>
      <c r="M42" s="6" t="s">
        <v>19</v>
      </c>
      <c r="N42" s="6" t="s">
        <v>14</v>
      </c>
    </row>
    <row r="43" spans="1:14" x14ac:dyDescent="0.25">
      <c r="A43" s="6" t="s">
        <v>86</v>
      </c>
      <c r="B43" s="6" t="s">
        <v>11</v>
      </c>
      <c r="C43" s="9">
        <v>45625</v>
      </c>
      <c r="D43" s="6" t="s">
        <v>48</v>
      </c>
      <c r="E43" s="6" t="s">
        <v>60</v>
      </c>
      <c r="F43" s="7">
        <v>2824</v>
      </c>
      <c r="G43" s="7">
        <v>425</v>
      </c>
      <c r="H43" s="7">
        <v>274</v>
      </c>
      <c r="I43" s="7">
        <v>31004</v>
      </c>
      <c r="J43" s="11">
        <v>0.11363049929041415</v>
      </c>
      <c r="K43" s="7">
        <v>53488</v>
      </c>
      <c r="L43" s="7">
        <v>268</v>
      </c>
      <c r="M43" s="6" t="s">
        <v>19</v>
      </c>
      <c r="N43" s="6" t="s">
        <v>22</v>
      </c>
    </row>
    <row r="44" spans="1:14" x14ac:dyDescent="0.25">
      <c r="A44" s="6" t="s">
        <v>86</v>
      </c>
      <c r="B44" s="6" t="s">
        <v>11</v>
      </c>
      <c r="C44" s="9">
        <v>45625</v>
      </c>
      <c r="D44" s="6" t="s">
        <v>48</v>
      </c>
      <c r="E44" s="6" t="s">
        <v>60</v>
      </c>
      <c r="F44" s="7">
        <v>2824</v>
      </c>
      <c r="G44" s="7">
        <v>425</v>
      </c>
      <c r="H44" s="7">
        <v>274</v>
      </c>
      <c r="I44" s="7">
        <v>31004</v>
      </c>
      <c r="J44" s="11">
        <v>0.11363049929041415</v>
      </c>
      <c r="K44" s="7">
        <v>53488</v>
      </c>
      <c r="L44" s="7">
        <v>268</v>
      </c>
      <c r="M44" s="6" t="s">
        <v>19</v>
      </c>
      <c r="N44" s="6" t="s">
        <v>18</v>
      </c>
    </row>
    <row r="45" spans="1:14" x14ac:dyDescent="0.25">
      <c r="A45" s="6" t="s">
        <v>87</v>
      </c>
      <c r="B45" s="6" t="s">
        <v>12</v>
      </c>
      <c r="C45" s="9">
        <v>45356</v>
      </c>
      <c r="D45" s="6" t="s">
        <v>78</v>
      </c>
      <c r="E45" s="6" t="s">
        <v>51</v>
      </c>
      <c r="F45" s="7">
        <v>3558</v>
      </c>
      <c r="G45" s="7">
        <v>314</v>
      </c>
      <c r="H45" s="7">
        <v>199</v>
      </c>
      <c r="I45" s="7">
        <v>49612</v>
      </c>
      <c r="J45" s="11">
        <v>8.205676046117874E-2</v>
      </c>
      <c r="K45" s="7">
        <v>53929</v>
      </c>
      <c r="L45" s="7">
        <v>206</v>
      </c>
      <c r="M45" s="6" t="s">
        <v>9</v>
      </c>
      <c r="N45" s="6" t="s">
        <v>26</v>
      </c>
    </row>
    <row r="46" spans="1:14" x14ac:dyDescent="0.25">
      <c r="A46" s="6" t="s">
        <v>87</v>
      </c>
      <c r="B46" s="6" t="s">
        <v>12</v>
      </c>
      <c r="C46" s="9">
        <v>45356</v>
      </c>
      <c r="D46" s="6" t="s">
        <v>78</v>
      </c>
      <c r="E46" s="6" t="s">
        <v>51</v>
      </c>
      <c r="F46" s="7">
        <v>3558</v>
      </c>
      <c r="G46" s="7">
        <v>314</v>
      </c>
      <c r="H46" s="7">
        <v>199</v>
      </c>
      <c r="I46" s="7">
        <v>49612</v>
      </c>
      <c r="J46" s="11">
        <v>8.205676046117874E-2</v>
      </c>
      <c r="K46" s="7">
        <v>53929</v>
      </c>
      <c r="L46" s="7">
        <v>206</v>
      </c>
      <c r="M46" s="6" t="s">
        <v>9</v>
      </c>
      <c r="N46" s="6" t="s">
        <v>22</v>
      </c>
    </row>
    <row r="47" spans="1:14" x14ac:dyDescent="0.25">
      <c r="A47" s="6" t="s">
        <v>88</v>
      </c>
      <c r="B47" s="6" t="s">
        <v>17</v>
      </c>
      <c r="C47" s="9">
        <v>45734</v>
      </c>
      <c r="D47" s="6" t="s">
        <v>53</v>
      </c>
      <c r="E47" s="6" t="s">
        <v>51</v>
      </c>
      <c r="F47" s="7">
        <v>3418</v>
      </c>
      <c r="G47" s="7">
        <v>188</v>
      </c>
      <c r="H47" s="7">
        <v>387</v>
      </c>
      <c r="I47" s="7">
        <v>57431</v>
      </c>
      <c r="J47" s="11">
        <v>6.9526910553533799E-2</v>
      </c>
      <c r="K47" s="7">
        <v>36933</v>
      </c>
      <c r="L47" s="7">
        <v>202</v>
      </c>
      <c r="M47" s="6" t="s">
        <v>19</v>
      </c>
      <c r="N47" s="6" t="s">
        <v>14</v>
      </c>
    </row>
    <row r="48" spans="1:14" x14ac:dyDescent="0.25">
      <c r="A48" s="6" t="s">
        <v>88</v>
      </c>
      <c r="B48" s="6" t="s">
        <v>17</v>
      </c>
      <c r="C48" s="9">
        <v>45734</v>
      </c>
      <c r="D48" s="6" t="s">
        <v>53</v>
      </c>
      <c r="E48" s="6" t="s">
        <v>51</v>
      </c>
      <c r="F48" s="7">
        <v>3418</v>
      </c>
      <c r="G48" s="7">
        <v>188</v>
      </c>
      <c r="H48" s="7">
        <v>387</v>
      </c>
      <c r="I48" s="7">
        <v>57431</v>
      </c>
      <c r="J48" s="11">
        <v>6.9526910553533799E-2</v>
      </c>
      <c r="K48" s="7">
        <v>36933</v>
      </c>
      <c r="L48" s="7">
        <v>202</v>
      </c>
      <c r="M48" s="6" t="s">
        <v>19</v>
      </c>
      <c r="N48" s="6" t="s">
        <v>18</v>
      </c>
    </row>
    <row r="49" spans="1:14" x14ac:dyDescent="0.25">
      <c r="A49" s="6" t="s">
        <v>89</v>
      </c>
      <c r="B49" s="6" t="s">
        <v>17</v>
      </c>
      <c r="C49" s="9">
        <v>45773</v>
      </c>
      <c r="D49" s="6" t="s">
        <v>48</v>
      </c>
      <c r="E49" s="6" t="s">
        <v>49</v>
      </c>
      <c r="F49" s="7">
        <v>2411</v>
      </c>
      <c r="G49" s="7">
        <v>194</v>
      </c>
      <c r="H49" s="7">
        <v>168</v>
      </c>
      <c r="I49" s="7">
        <v>26665</v>
      </c>
      <c r="J49" s="11">
        <v>0.10399399962497656</v>
      </c>
      <c r="K49" s="7">
        <v>71699</v>
      </c>
      <c r="L49" s="7">
        <v>197</v>
      </c>
      <c r="M49" s="6" t="s">
        <v>19</v>
      </c>
      <c r="N49" s="6" t="s">
        <v>18</v>
      </c>
    </row>
    <row r="50" spans="1:14" x14ac:dyDescent="0.25">
      <c r="A50" s="6" t="s">
        <v>90</v>
      </c>
      <c r="B50" s="6" t="s">
        <v>11</v>
      </c>
      <c r="C50" s="9">
        <v>45658</v>
      </c>
      <c r="D50" s="6" t="s">
        <v>48</v>
      </c>
      <c r="E50" s="6" t="s">
        <v>54</v>
      </c>
      <c r="F50" s="7">
        <v>4036</v>
      </c>
      <c r="G50" s="7">
        <v>112</v>
      </c>
      <c r="H50" s="7">
        <v>382</v>
      </c>
      <c r="I50" s="7">
        <v>56284</v>
      </c>
      <c r="J50" s="11">
        <v>8.0484684812735408E-2</v>
      </c>
      <c r="K50" s="7">
        <v>29440</v>
      </c>
      <c r="L50" s="7">
        <v>279</v>
      </c>
      <c r="M50" s="6" t="s">
        <v>19</v>
      </c>
      <c r="N50" s="6" t="s">
        <v>22</v>
      </c>
    </row>
    <row r="51" spans="1:14" x14ac:dyDescent="0.25">
      <c r="A51" s="6" t="s">
        <v>90</v>
      </c>
      <c r="B51" s="6" t="s">
        <v>11</v>
      </c>
      <c r="C51" s="9">
        <v>45658</v>
      </c>
      <c r="D51" s="6" t="s">
        <v>48</v>
      </c>
      <c r="E51" s="6" t="s">
        <v>54</v>
      </c>
      <c r="F51" s="7">
        <v>4036</v>
      </c>
      <c r="G51" s="7">
        <v>112</v>
      </c>
      <c r="H51" s="7">
        <v>382</v>
      </c>
      <c r="I51" s="7">
        <v>56284</v>
      </c>
      <c r="J51" s="11">
        <v>8.0484684812735408E-2</v>
      </c>
      <c r="K51" s="7">
        <v>29440</v>
      </c>
      <c r="L51" s="7">
        <v>279</v>
      </c>
      <c r="M51" s="6" t="s">
        <v>19</v>
      </c>
      <c r="N51" s="6" t="s">
        <v>18</v>
      </c>
    </row>
    <row r="52" spans="1:14" x14ac:dyDescent="0.25">
      <c r="A52" s="6" t="s">
        <v>91</v>
      </c>
      <c r="B52" s="6" t="s">
        <v>17</v>
      </c>
      <c r="C52" s="9">
        <v>45419</v>
      </c>
      <c r="D52" s="6" t="s">
        <v>53</v>
      </c>
      <c r="E52" s="6" t="s">
        <v>51</v>
      </c>
      <c r="F52" s="7">
        <v>2776</v>
      </c>
      <c r="G52" s="7">
        <v>307</v>
      </c>
      <c r="H52" s="7">
        <v>178</v>
      </c>
      <c r="I52" s="7">
        <v>43365</v>
      </c>
      <c r="J52" s="11">
        <v>7.519889311656866E-2</v>
      </c>
      <c r="K52" s="7">
        <v>48408</v>
      </c>
      <c r="L52" s="7">
        <v>138</v>
      </c>
      <c r="M52" s="6" t="s">
        <v>19</v>
      </c>
      <c r="N52" s="6" t="s">
        <v>22</v>
      </c>
    </row>
    <row r="53" spans="1:14" x14ac:dyDescent="0.25">
      <c r="A53" s="6" t="s">
        <v>91</v>
      </c>
      <c r="B53" s="6" t="s">
        <v>17</v>
      </c>
      <c r="C53" s="9">
        <v>45419</v>
      </c>
      <c r="D53" s="6" t="s">
        <v>53</v>
      </c>
      <c r="E53" s="6" t="s">
        <v>51</v>
      </c>
      <c r="F53" s="7">
        <v>2776</v>
      </c>
      <c r="G53" s="7">
        <v>307</v>
      </c>
      <c r="H53" s="7">
        <v>178</v>
      </c>
      <c r="I53" s="7">
        <v>43365</v>
      </c>
      <c r="J53" s="11">
        <v>7.519889311656866E-2</v>
      </c>
      <c r="K53" s="7">
        <v>48408</v>
      </c>
      <c r="L53" s="7">
        <v>138</v>
      </c>
      <c r="M53" s="6" t="s">
        <v>19</v>
      </c>
      <c r="N53" s="6" t="s">
        <v>18</v>
      </c>
    </row>
    <row r="54" spans="1:14" x14ac:dyDescent="0.25">
      <c r="A54" s="6" t="s">
        <v>92</v>
      </c>
      <c r="B54" s="6" t="s">
        <v>17</v>
      </c>
      <c r="C54" s="9">
        <v>45574</v>
      </c>
      <c r="D54" s="6" t="s">
        <v>53</v>
      </c>
      <c r="E54" s="6" t="s">
        <v>49</v>
      </c>
      <c r="F54" s="7">
        <v>4929</v>
      </c>
      <c r="G54" s="7">
        <v>182</v>
      </c>
      <c r="H54" s="7">
        <v>95</v>
      </c>
      <c r="I54" s="7">
        <v>32181</v>
      </c>
      <c r="J54" s="11">
        <v>0.16177247444144061</v>
      </c>
      <c r="K54" s="7">
        <v>31084</v>
      </c>
      <c r="L54" s="7">
        <v>289</v>
      </c>
      <c r="M54" s="6" t="s">
        <v>19</v>
      </c>
      <c r="N54" s="6" t="s">
        <v>26</v>
      </c>
    </row>
    <row r="55" spans="1:14" x14ac:dyDescent="0.25">
      <c r="A55" s="6" t="s">
        <v>92</v>
      </c>
      <c r="B55" s="6" t="s">
        <v>17</v>
      </c>
      <c r="C55" s="9">
        <v>45574</v>
      </c>
      <c r="D55" s="6" t="s">
        <v>53</v>
      </c>
      <c r="E55" s="6" t="s">
        <v>49</v>
      </c>
      <c r="F55" s="7">
        <v>4929</v>
      </c>
      <c r="G55" s="7">
        <v>182</v>
      </c>
      <c r="H55" s="7">
        <v>95</v>
      </c>
      <c r="I55" s="7">
        <v>32181</v>
      </c>
      <c r="J55" s="11">
        <v>0.16177247444144061</v>
      </c>
      <c r="K55" s="7">
        <v>31084</v>
      </c>
      <c r="L55" s="7">
        <v>289</v>
      </c>
      <c r="M55" s="6" t="s">
        <v>19</v>
      </c>
      <c r="N55" s="6" t="s">
        <v>14</v>
      </c>
    </row>
    <row r="56" spans="1:14" x14ac:dyDescent="0.25">
      <c r="A56" s="6" t="s">
        <v>93</v>
      </c>
      <c r="B56" s="6" t="s">
        <v>11</v>
      </c>
      <c r="C56" s="9">
        <v>45666</v>
      </c>
      <c r="D56" s="6" t="s">
        <v>48</v>
      </c>
      <c r="E56" s="6" t="s">
        <v>54</v>
      </c>
      <c r="F56" s="7">
        <v>1015</v>
      </c>
      <c r="G56" s="7">
        <v>366</v>
      </c>
      <c r="H56" s="7">
        <v>308</v>
      </c>
      <c r="I56" s="7">
        <v>38127</v>
      </c>
      <c r="J56" s="11">
        <v>4.4299315445747112E-2</v>
      </c>
      <c r="K56" s="7">
        <v>63790</v>
      </c>
      <c r="L56" s="7">
        <v>287</v>
      </c>
      <c r="M56" s="6" t="s">
        <v>19</v>
      </c>
      <c r="N56" s="6" t="s">
        <v>22</v>
      </c>
    </row>
    <row r="57" spans="1:14" x14ac:dyDescent="0.25">
      <c r="A57" s="6" t="s">
        <v>93</v>
      </c>
      <c r="B57" s="6" t="s">
        <v>11</v>
      </c>
      <c r="C57" s="9">
        <v>45666</v>
      </c>
      <c r="D57" s="6" t="s">
        <v>48</v>
      </c>
      <c r="E57" s="6" t="s">
        <v>54</v>
      </c>
      <c r="F57" s="7">
        <v>1015</v>
      </c>
      <c r="G57" s="7">
        <v>366</v>
      </c>
      <c r="H57" s="7">
        <v>308</v>
      </c>
      <c r="I57" s="7">
        <v>38127</v>
      </c>
      <c r="J57" s="11">
        <v>4.4299315445747112E-2</v>
      </c>
      <c r="K57" s="7">
        <v>63790</v>
      </c>
      <c r="L57" s="7">
        <v>287</v>
      </c>
      <c r="M57" s="6" t="s">
        <v>19</v>
      </c>
      <c r="N57" s="6" t="s">
        <v>18</v>
      </c>
    </row>
    <row r="58" spans="1:14" x14ac:dyDescent="0.25">
      <c r="A58" s="6" t="s">
        <v>94</v>
      </c>
      <c r="B58" s="6" t="s">
        <v>17</v>
      </c>
      <c r="C58" s="9">
        <v>45785</v>
      </c>
      <c r="D58" s="6" t="s">
        <v>53</v>
      </c>
      <c r="E58" s="6" t="s">
        <v>73</v>
      </c>
      <c r="F58" s="7">
        <v>3316</v>
      </c>
      <c r="G58" s="7">
        <v>332</v>
      </c>
      <c r="H58" s="7">
        <v>268</v>
      </c>
      <c r="I58" s="7">
        <v>40095</v>
      </c>
      <c r="J58" s="11">
        <v>9.7668038408779148E-2</v>
      </c>
      <c r="K58" s="7">
        <v>36913</v>
      </c>
      <c r="L58" s="7">
        <v>265</v>
      </c>
      <c r="M58" s="6" t="s">
        <v>19</v>
      </c>
      <c r="N58" s="6" t="s">
        <v>14</v>
      </c>
    </row>
    <row r="59" spans="1:14" x14ac:dyDescent="0.25">
      <c r="A59" s="6" t="s">
        <v>94</v>
      </c>
      <c r="B59" s="6" t="s">
        <v>17</v>
      </c>
      <c r="C59" s="9">
        <v>45785</v>
      </c>
      <c r="D59" s="6" t="s">
        <v>53</v>
      </c>
      <c r="E59" s="6" t="s">
        <v>73</v>
      </c>
      <c r="F59" s="7">
        <v>3316</v>
      </c>
      <c r="G59" s="7">
        <v>332</v>
      </c>
      <c r="H59" s="7">
        <v>268</v>
      </c>
      <c r="I59" s="7">
        <v>40095</v>
      </c>
      <c r="J59" s="11">
        <v>9.7668038408779148E-2</v>
      </c>
      <c r="K59" s="7">
        <v>36913</v>
      </c>
      <c r="L59" s="7">
        <v>265</v>
      </c>
      <c r="M59" s="6" t="s">
        <v>19</v>
      </c>
      <c r="N59" s="6" t="s">
        <v>18</v>
      </c>
    </row>
    <row r="60" spans="1:14" x14ac:dyDescent="0.25">
      <c r="A60" s="6" t="s">
        <v>95</v>
      </c>
      <c r="B60" s="6" t="s">
        <v>11</v>
      </c>
      <c r="C60" s="9">
        <v>45416</v>
      </c>
      <c r="D60" s="6" t="s">
        <v>48</v>
      </c>
      <c r="E60" s="6" t="s">
        <v>56</v>
      </c>
      <c r="F60" s="7">
        <v>2274</v>
      </c>
      <c r="G60" s="7">
        <v>243</v>
      </c>
      <c r="H60" s="7">
        <v>222</v>
      </c>
      <c r="I60" s="7">
        <v>43066</v>
      </c>
      <c r="J60" s="11">
        <v>6.3600055728416843E-2</v>
      </c>
      <c r="K60" s="7">
        <v>59174</v>
      </c>
      <c r="L60" s="7">
        <v>80</v>
      </c>
      <c r="M60" s="6" t="s">
        <v>23</v>
      </c>
      <c r="N60" s="6" t="s">
        <v>26</v>
      </c>
    </row>
    <row r="61" spans="1:14" x14ac:dyDescent="0.25">
      <c r="A61" s="6" t="s">
        <v>96</v>
      </c>
      <c r="B61" s="6" t="s">
        <v>17</v>
      </c>
      <c r="C61" s="9">
        <v>45804</v>
      </c>
      <c r="D61" s="6" t="s">
        <v>53</v>
      </c>
      <c r="E61" s="6" t="s">
        <v>51</v>
      </c>
      <c r="F61" s="7">
        <v>4095</v>
      </c>
      <c r="G61" s="7">
        <v>385</v>
      </c>
      <c r="H61" s="7">
        <v>400</v>
      </c>
      <c r="I61" s="7">
        <v>45300</v>
      </c>
      <c r="J61" s="11">
        <v>0.10772626931567329</v>
      </c>
      <c r="K61" s="7">
        <v>31795</v>
      </c>
      <c r="L61" s="7">
        <v>80</v>
      </c>
      <c r="M61" s="6" t="s">
        <v>19</v>
      </c>
      <c r="N61" s="6" t="s">
        <v>14</v>
      </c>
    </row>
    <row r="62" spans="1:14" x14ac:dyDescent="0.25">
      <c r="A62" s="6" t="s">
        <v>96</v>
      </c>
      <c r="B62" s="6" t="s">
        <v>17</v>
      </c>
      <c r="C62" s="9">
        <v>45804</v>
      </c>
      <c r="D62" s="6" t="s">
        <v>53</v>
      </c>
      <c r="E62" s="6" t="s">
        <v>51</v>
      </c>
      <c r="F62" s="7">
        <v>4095</v>
      </c>
      <c r="G62" s="7">
        <v>385</v>
      </c>
      <c r="H62" s="7">
        <v>400</v>
      </c>
      <c r="I62" s="7">
        <v>45300</v>
      </c>
      <c r="J62" s="11">
        <v>0.10772626931567329</v>
      </c>
      <c r="K62" s="7">
        <v>31795</v>
      </c>
      <c r="L62" s="7">
        <v>80</v>
      </c>
      <c r="M62" s="6" t="s">
        <v>19</v>
      </c>
      <c r="N62" s="6" t="s">
        <v>18</v>
      </c>
    </row>
    <row r="63" spans="1:14" x14ac:dyDescent="0.25">
      <c r="A63" s="6" t="s">
        <v>97</v>
      </c>
      <c r="B63" s="6" t="s">
        <v>11</v>
      </c>
      <c r="C63" s="9">
        <v>45545</v>
      </c>
      <c r="D63" s="6" t="s">
        <v>53</v>
      </c>
      <c r="E63" s="6" t="s">
        <v>54</v>
      </c>
      <c r="F63" s="7">
        <v>1230</v>
      </c>
      <c r="G63" s="7">
        <v>309</v>
      </c>
      <c r="H63" s="7">
        <v>207</v>
      </c>
      <c r="I63" s="7">
        <v>44629</v>
      </c>
      <c r="J63" s="11">
        <v>3.9122543637545096E-2</v>
      </c>
      <c r="K63" s="7">
        <v>40699</v>
      </c>
      <c r="L63" s="7">
        <v>195</v>
      </c>
      <c r="M63" s="6" t="s">
        <v>15</v>
      </c>
      <c r="N63" s="6" t="s">
        <v>18</v>
      </c>
    </row>
    <row r="64" spans="1:14" x14ac:dyDescent="0.25">
      <c r="A64" s="6" t="s">
        <v>98</v>
      </c>
      <c r="B64" s="6" t="s">
        <v>11</v>
      </c>
      <c r="C64" s="9">
        <v>45621</v>
      </c>
      <c r="D64" s="6" t="s">
        <v>48</v>
      </c>
      <c r="E64" s="6" t="s">
        <v>71</v>
      </c>
      <c r="F64" s="7">
        <v>1341</v>
      </c>
      <c r="G64" s="7">
        <v>472</v>
      </c>
      <c r="H64" s="7">
        <v>238</v>
      </c>
      <c r="I64" s="7">
        <v>51386</v>
      </c>
      <c r="J64" s="11">
        <v>3.9913595142645857E-2</v>
      </c>
      <c r="K64" s="7">
        <v>51706</v>
      </c>
      <c r="L64" s="7">
        <v>133</v>
      </c>
      <c r="M64" s="6" t="s">
        <v>23</v>
      </c>
      <c r="N64" s="6" t="s">
        <v>26</v>
      </c>
    </row>
    <row r="65" spans="1:14" x14ac:dyDescent="0.25">
      <c r="A65" s="6" t="s">
        <v>99</v>
      </c>
      <c r="B65" s="6" t="s">
        <v>17</v>
      </c>
      <c r="C65" s="9">
        <v>45818</v>
      </c>
      <c r="D65" s="6" t="s">
        <v>48</v>
      </c>
      <c r="E65" s="6" t="s">
        <v>51</v>
      </c>
      <c r="F65" s="7">
        <v>3615</v>
      </c>
      <c r="G65" s="7">
        <v>192</v>
      </c>
      <c r="H65" s="7">
        <v>162</v>
      </c>
      <c r="I65" s="7">
        <v>27492</v>
      </c>
      <c r="J65" s="11">
        <v>0.14436927106067218</v>
      </c>
      <c r="K65" s="7">
        <v>35341</v>
      </c>
      <c r="L65" s="7">
        <v>125</v>
      </c>
      <c r="M65" s="6" t="s">
        <v>19</v>
      </c>
      <c r="N65" s="6" t="s">
        <v>18</v>
      </c>
    </row>
    <row r="66" spans="1:14" x14ac:dyDescent="0.25">
      <c r="A66" s="6" t="s">
        <v>100</v>
      </c>
      <c r="B66" s="6" t="s">
        <v>11</v>
      </c>
      <c r="C66" s="9">
        <v>45401</v>
      </c>
      <c r="D66" s="6" t="s">
        <v>48</v>
      </c>
      <c r="E66" s="6" t="s">
        <v>54</v>
      </c>
      <c r="F66" s="7">
        <v>4001</v>
      </c>
      <c r="G66" s="7">
        <v>353</v>
      </c>
      <c r="H66" s="7">
        <v>129</v>
      </c>
      <c r="I66" s="7">
        <v>41265</v>
      </c>
      <c r="J66" s="11">
        <v>0.10863928268508422</v>
      </c>
      <c r="K66" s="7">
        <v>37279</v>
      </c>
      <c r="L66" s="7">
        <v>275</v>
      </c>
      <c r="M66" s="6" t="s">
        <v>19</v>
      </c>
      <c r="N66" s="6" t="s">
        <v>22</v>
      </c>
    </row>
    <row r="67" spans="1:14" x14ac:dyDescent="0.25">
      <c r="A67" s="6" t="s">
        <v>100</v>
      </c>
      <c r="B67" s="6" t="s">
        <v>11</v>
      </c>
      <c r="C67" s="9">
        <v>45401</v>
      </c>
      <c r="D67" s="6" t="s">
        <v>48</v>
      </c>
      <c r="E67" s="6" t="s">
        <v>54</v>
      </c>
      <c r="F67" s="7">
        <v>4001</v>
      </c>
      <c r="G67" s="7">
        <v>353</v>
      </c>
      <c r="H67" s="7">
        <v>129</v>
      </c>
      <c r="I67" s="7">
        <v>41265</v>
      </c>
      <c r="J67" s="11">
        <v>0.10863928268508422</v>
      </c>
      <c r="K67" s="7">
        <v>37279</v>
      </c>
      <c r="L67" s="7">
        <v>275</v>
      </c>
      <c r="M67" s="6" t="s">
        <v>19</v>
      </c>
      <c r="N67" s="6" t="s">
        <v>18</v>
      </c>
    </row>
    <row r="68" spans="1:14" x14ac:dyDescent="0.25">
      <c r="A68" s="6" t="s">
        <v>101</v>
      </c>
      <c r="B68" s="6" t="s">
        <v>11</v>
      </c>
      <c r="C68" s="9">
        <v>45683</v>
      </c>
      <c r="D68" s="6" t="s">
        <v>53</v>
      </c>
      <c r="E68" s="6" t="s">
        <v>60</v>
      </c>
      <c r="F68" s="7">
        <v>3451</v>
      </c>
      <c r="G68" s="7">
        <v>363</v>
      </c>
      <c r="H68" s="7">
        <v>393</v>
      </c>
      <c r="I68" s="7">
        <v>44853</v>
      </c>
      <c r="J68" s="11">
        <v>9.379528682585335E-2</v>
      </c>
      <c r="K68" s="7">
        <v>69032</v>
      </c>
      <c r="L68" s="7">
        <v>211</v>
      </c>
      <c r="M68" s="6" t="s">
        <v>15</v>
      </c>
      <c r="N68" s="6" t="s">
        <v>18</v>
      </c>
    </row>
    <row r="69" spans="1:14" x14ac:dyDescent="0.25">
      <c r="A69" s="6" t="s">
        <v>102</v>
      </c>
      <c r="B69" s="6" t="s">
        <v>11</v>
      </c>
      <c r="C69" s="9">
        <v>45702</v>
      </c>
      <c r="D69" s="6" t="s">
        <v>48</v>
      </c>
      <c r="E69" s="6" t="s">
        <v>65</v>
      </c>
      <c r="F69" s="7">
        <v>4891</v>
      </c>
      <c r="G69" s="7">
        <v>450</v>
      </c>
      <c r="H69" s="7">
        <v>387</v>
      </c>
      <c r="I69" s="7">
        <v>48746</v>
      </c>
      <c r="J69" s="11">
        <v>0.11750707750379519</v>
      </c>
      <c r="K69" s="7">
        <v>37312</v>
      </c>
      <c r="L69" s="7">
        <v>154</v>
      </c>
      <c r="M69" s="6" t="s">
        <v>19</v>
      </c>
      <c r="N69" s="6" t="s">
        <v>22</v>
      </c>
    </row>
    <row r="70" spans="1:14" x14ac:dyDescent="0.25">
      <c r="A70" s="6" t="s">
        <v>102</v>
      </c>
      <c r="B70" s="6" t="s">
        <v>11</v>
      </c>
      <c r="C70" s="9">
        <v>45702</v>
      </c>
      <c r="D70" s="6" t="s">
        <v>48</v>
      </c>
      <c r="E70" s="6" t="s">
        <v>65</v>
      </c>
      <c r="F70" s="7">
        <v>4891</v>
      </c>
      <c r="G70" s="7">
        <v>450</v>
      </c>
      <c r="H70" s="7">
        <v>387</v>
      </c>
      <c r="I70" s="7">
        <v>48746</v>
      </c>
      <c r="J70" s="11">
        <v>0.11750707750379519</v>
      </c>
      <c r="K70" s="7">
        <v>37312</v>
      </c>
      <c r="L70" s="7">
        <v>154</v>
      </c>
      <c r="M70" s="6" t="s">
        <v>19</v>
      </c>
      <c r="N70" s="6" t="s">
        <v>18</v>
      </c>
    </row>
    <row r="71" spans="1:14" x14ac:dyDescent="0.25">
      <c r="A71" s="6" t="s">
        <v>103</v>
      </c>
      <c r="B71" s="6" t="s">
        <v>11</v>
      </c>
      <c r="C71" s="9">
        <v>45541</v>
      </c>
      <c r="D71" s="6" t="s">
        <v>48</v>
      </c>
      <c r="E71" s="6" t="s">
        <v>54</v>
      </c>
      <c r="F71" s="7">
        <v>1452</v>
      </c>
      <c r="G71" s="7">
        <v>281</v>
      </c>
      <c r="H71" s="7">
        <v>326</v>
      </c>
      <c r="I71" s="7">
        <v>51556</v>
      </c>
      <c r="J71" s="11">
        <v>3.9937155714174881E-2</v>
      </c>
      <c r="K71" s="7">
        <v>62599</v>
      </c>
      <c r="L71" s="7">
        <v>290</v>
      </c>
      <c r="M71" s="6" t="s">
        <v>23</v>
      </c>
      <c r="N71" s="6" t="s">
        <v>26</v>
      </c>
    </row>
    <row r="72" spans="1:14" x14ac:dyDescent="0.25">
      <c r="A72" s="6" t="s">
        <v>104</v>
      </c>
      <c r="B72" s="6" t="s">
        <v>12</v>
      </c>
      <c r="C72" s="9">
        <v>45487</v>
      </c>
      <c r="D72" s="6" t="s">
        <v>48</v>
      </c>
      <c r="E72" s="6" t="s">
        <v>73</v>
      </c>
      <c r="F72" s="7">
        <v>3806</v>
      </c>
      <c r="G72" s="7">
        <v>114</v>
      </c>
      <c r="H72" s="7">
        <v>278</v>
      </c>
      <c r="I72" s="7">
        <v>36148</v>
      </c>
      <c r="J72" s="11">
        <v>0.11613367267898639</v>
      </c>
      <c r="K72" s="7">
        <v>24209</v>
      </c>
      <c r="L72" s="7">
        <v>201</v>
      </c>
      <c r="M72" s="6" t="s">
        <v>23</v>
      </c>
      <c r="N72" s="6" t="s">
        <v>26</v>
      </c>
    </row>
    <row r="73" spans="1:14" x14ac:dyDescent="0.25">
      <c r="A73" s="6" t="s">
        <v>104</v>
      </c>
      <c r="B73" s="6" t="s">
        <v>12</v>
      </c>
      <c r="C73" s="9">
        <v>45487</v>
      </c>
      <c r="D73" s="6" t="s">
        <v>48</v>
      </c>
      <c r="E73" s="6" t="s">
        <v>73</v>
      </c>
      <c r="F73" s="7">
        <v>3806</v>
      </c>
      <c r="G73" s="7">
        <v>114</v>
      </c>
      <c r="H73" s="7">
        <v>278</v>
      </c>
      <c r="I73" s="7">
        <v>36148</v>
      </c>
      <c r="J73" s="11">
        <v>0.11613367267898639</v>
      </c>
      <c r="K73" s="7">
        <v>24209</v>
      </c>
      <c r="L73" s="7">
        <v>201</v>
      </c>
      <c r="M73" s="6" t="s">
        <v>23</v>
      </c>
      <c r="N73" s="6" t="s">
        <v>13</v>
      </c>
    </row>
    <row r="74" spans="1:14" x14ac:dyDescent="0.25">
      <c r="A74" s="6" t="s">
        <v>105</v>
      </c>
      <c r="B74" s="6" t="s">
        <v>11</v>
      </c>
      <c r="C74" s="9">
        <v>45334</v>
      </c>
      <c r="D74" s="6" t="s">
        <v>48</v>
      </c>
      <c r="E74" s="6" t="s">
        <v>51</v>
      </c>
      <c r="F74" s="7">
        <v>2923</v>
      </c>
      <c r="G74" s="7">
        <v>330</v>
      </c>
      <c r="H74" s="7">
        <v>250</v>
      </c>
      <c r="I74" s="7">
        <v>23993</v>
      </c>
      <c r="J74" s="11">
        <v>0.14600091693410577</v>
      </c>
      <c r="K74" s="7">
        <v>74590</v>
      </c>
      <c r="L74" s="7">
        <v>92</v>
      </c>
      <c r="M74" s="6" t="s">
        <v>23</v>
      </c>
      <c r="N74" s="6" t="s">
        <v>26</v>
      </c>
    </row>
    <row r="75" spans="1:14" x14ac:dyDescent="0.25">
      <c r="A75" s="6" t="s">
        <v>106</v>
      </c>
      <c r="B75" s="6" t="s">
        <v>12</v>
      </c>
      <c r="C75" s="9">
        <v>45365</v>
      </c>
      <c r="D75" s="6" t="s">
        <v>78</v>
      </c>
      <c r="E75" s="6" t="s">
        <v>71</v>
      </c>
      <c r="F75" s="7">
        <v>3361</v>
      </c>
      <c r="G75" s="7">
        <v>188</v>
      </c>
      <c r="H75" s="7">
        <v>358</v>
      </c>
      <c r="I75" s="7">
        <v>39838</v>
      </c>
      <c r="J75" s="11">
        <v>9.8072192379135503E-2</v>
      </c>
      <c r="K75" s="7">
        <v>24536</v>
      </c>
      <c r="L75" s="7">
        <v>120</v>
      </c>
      <c r="M75" s="6" t="s">
        <v>9</v>
      </c>
      <c r="N75" s="6" t="s">
        <v>26</v>
      </c>
    </row>
    <row r="76" spans="1:14" x14ac:dyDescent="0.25">
      <c r="A76" s="6" t="s">
        <v>106</v>
      </c>
      <c r="B76" s="6" t="s">
        <v>12</v>
      </c>
      <c r="C76" s="9">
        <v>45365</v>
      </c>
      <c r="D76" s="6" t="s">
        <v>78</v>
      </c>
      <c r="E76" s="6" t="s">
        <v>71</v>
      </c>
      <c r="F76" s="7">
        <v>3361</v>
      </c>
      <c r="G76" s="7">
        <v>188</v>
      </c>
      <c r="H76" s="7">
        <v>358</v>
      </c>
      <c r="I76" s="7">
        <v>39838</v>
      </c>
      <c r="J76" s="11">
        <v>9.8072192379135503E-2</v>
      </c>
      <c r="K76" s="7">
        <v>24536</v>
      </c>
      <c r="L76" s="7">
        <v>120</v>
      </c>
      <c r="M76" s="6" t="s">
        <v>9</v>
      </c>
      <c r="N76" s="6" t="s">
        <v>22</v>
      </c>
    </row>
    <row r="77" spans="1:14" x14ac:dyDescent="0.25">
      <c r="A77" s="6" t="s">
        <v>107</v>
      </c>
      <c r="B77" s="6" t="s">
        <v>11</v>
      </c>
      <c r="C77" s="9">
        <v>45693</v>
      </c>
      <c r="D77" s="6" t="s">
        <v>53</v>
      </c>
      <c r="E77" s="6" t="s">
        <v>58</v>
      </c>
      <c r="F77" s="7">
        <v>3074</v>
      </c>
      <c r="G77" s="7">
        <v>371</v>
      </c>
      <c r="H77" s="7">
        <v>348</v>
      </c>
      <c r="I77" s="7">
        <v>24104</v>
      </c>
      <c r="J77" s="11">
        <v>0.15735977431131762</v>
      </c>
      <c r="K77" s="7">
        <v>57803</v>
      </c>
      <c r="L77" s="7">
        <v>213</v>
      </c>
      <c r="M77" s="6" t="s">
        <v>15</v>
      </c>
      <c r="N77" s="6" t="s">
        <v>18</v>
      </c>
    </row>
    <row r="78" spans="1:14" x14ac:dyDescent="0.25">
      <c r="A78" s="6" t="s">
        <v>108</v>
      </c>
      <c r="B78" s="6" t="s">
        <v>17</v>
      </c>
      <c r="C78" s="9">
        <v>45533</v>
      </c>
      <c r="D78" s="6" t="s">
        <v>53</v>
      </c>
      <c r="E78" s="6" t="s">
        <v>62</v>
      </c>
      <c r="F78" s="7">
        <v>4276</v>
      </c>
      <c r="G78" s="7">
        <v>227</v>
      </c>
      <c r="H78" s="7">
        <v>223</v>
      </c>
      <c r="I78" s="7">
        <v>43443</v>
      </c>
      <c r="J78" s="11">
        <v>0.1087862256289851</v>
      </c>
      <c r="K78" s="7">
        <v>41005</v>
      </c>
      <c r="L78" s="7">
        <v>191</v>
      </c>
      <c r="M78" s="6" t="s">
        <v>19</v>
      </c>
      <c r="N78" s="6" t="s">
        <v>26</v>
      </c>
    </row>
    <row r="79" spans="1:14" x14ac:dyDescent="0.25">
      <c r="A79" s="6" t="s">
        <v>108</v>
      </c>
      <c r="B79" s="6" t="s">
        <v>17</v>
      </c>
      <c r="C79" s="9">
        <v>45533</v>
      </c>
      <c r="D79" s="6" t="s">
        <v>53</v>
      </c>
      <c r="E79" s="6" t="s">
        <v>62</v>
      </c>
      <c r="F79" s="7">
        <v>4276</v>
      </c>
      <c r="G79" s="7">
        <v>227</v>
      </c>
      <c r="H79" s="7">
        <v>223</v>
      </c>
      <c r="I79" s="7">
        <v>43443</v>
      </c>
      <c r="J79" s="11">
        <v>0.1087862256289851</v>
      </c>
      <c r="K79" s="7">
        <v>41005</v>
      </c>
      <c r="L79" s="7">
        <v>191</v>
      </c>
      <c r="M79" s="6" t="s">
        <v>19</v>
      </c>
      <c r="N79" s="6" t="s">
        <v>14</v>
      </c>
    </row>
    <row r="80" spans="1:14" x14ac:dyDescent="0.25">
      <c r="A80" s="6" t="s">
        <v>109</v>
      </c>
      <c r="B80" s="6" t="s">
        <v>17</v>
      </c>
      <c r="C80" s="9">
        <v>45769</v>
      </c>
      <c r="D80" s="6" t="s">
        <v>48</v>
      </c>
      <c r="E80" s="6" t="s">
        <v>49</v>
      </c>
      <c r="F80" s="7">
        <v>4401</v>
      </c>
      <c r="G80" s="7">
        <v>421</v>
      </c>
      <c r="H80" s="7">
        <v>216</v>
      </c>
      <c r="I80" s="7">
        <v>24890</v>
      </c>
      <c r="J80" s="11">
        <v>0.20241060666934513</v>
      </c>
      <c r="K80" s="7">
        <v>54361</v>
      </c>
      <c r="L80" s="7">
        <v>148</v>
      </c>
      <c r="M80" s="6" t="s">
        <v>19</v>
      </c>
      <c r="N80" s="6" t="s">
        <v>18</v>
      </c>
    </row>
    <row r="81" spans="1:14" x14ac:dyDescent="0.25">
      <c r="A81" s="6" t="s">
        <v>110</v>
      </c>
      <c r="B81" s="6" t="s">
        <v>12</v>
      </c>
      <c r="C81" s="9">
        <v>45425</v>
      </c>
      <c r="D81" s="6" t="s">
        <v>78</v>
      </c>
      <c r="E81" s="6" t="s">
        <v>51</v>
      </c>
      <c r="F81" s="7">
        <v>4161</v>
      </c>
      <c r="G81" s="7">
        <v>481</v>
      </c>
      <c r="H81" s="7">
        <v>61</v>
      </c>
      <c r="I81" s="7">
        <v>45884</v>
      </c>
      <c r="J81" s="11">
        <v>0.10249760265016128</v>
      </c>
      <c r="K81" s="7">
        <v>48955</v>
      </c>
      <c r="L81" s="7">
        <v>215</v>
      </c>
      <c r="M81" s="6" t="s">
        <v>9</v>
      </c>
      <c r="N81" s="6" t="s">
        <v>26</v>
      </c>
    </row>
    <row r="82" spans="1:14" x14ac:dyDescent="0.25">
      <c r="A82" s="6" t="s">
        <v>110</v>
      </c>
      <c r="B82" s="6" t="s">
        <v>12</v>
      </c>
      <c r="C82" s="9">
        <v>45425</v>
      </c>
      <c r="D82" s="6" t="s">
        <v>78</v>
      </c>
      <c r="E82" s="6" t="s">
        <v>51</v>
      </c>
      <c r="F82" s="7">
        <v>4161</v>
      </c>
      <c r="G82" s="7">
        <v>481</v>
      </c>
      <c r="H82" s="7">
        <v>61</v>
      </c>
      <c r="I82" s="7">
        <v>45884</v>
      </c>
      <c r="J82" s="11">
        <v>0.10249760265016128</v>
      </c>
      <c r="K82" s="7">
        <v>48955</v>
      </c>
      <c r="L82" s="7">
        <v>215</v>
      </c>
      <c r="M82" s="6" t="s">
        <v>9</v>
      </c>
      <c r="N82" s="6" t="s">
        <v>22</v>
      </c>
    </row>
    <row r="83" spans="1:14" x14ac:dyDescent="0.25">
      <c r="A83" s="6" t="s">
        <v>111</v>
      </c>
      <c r="B83" s="6" t="s">
        <v>17</v>
      </c>
      <c r="C83" s="9">
        <v>45539</v>
      </c>
      <c r="D83" s="6" t="s">
        <v>53</v>
      </c>
      <c r="E83" s="6" t="s">
        <v>54</v>
      </c>
      <c r="F83" s="7">
        <v>2613</v>
      </c>
      <c r="G83" s="7">
        <v>455</v>
      </c>
      <c r="H83" s="7">
        <v>228</v>
      </c>
      <c r="I83" s="7">
        <v>21645</v>
      </c>
      <c r="J83" s="11">
        <v>0.15227535227535227</v>
      </c>
      <c r="K83" s="7">
        <v>61334</v>
      </c>
      <c r="L83" s="7">
        <v>261</v>
      </c>
      <c r="M83" s="6" t="s">
        <v>19</v>
      </c>
      <c r="N83" s="6" t="s">
        <v>26</v>
      </c>
    </row>
    <row r="84" spans="1:14" x14ac:dyDescent="0.25">
      <c r="A84" s="6" t="s">
        <v>111</v>
      </c>
      <c r="B84" s="6" t="s">
        <v>17</v>
      </c>
      <c r="C84" s="9">
        <v>45539</v>
      </c>
      <c r="D84" s="6" t="s">
        <v>53</v>
      </c>
      <c r="E84" s="6" t="s">
        <v>54</v>
      </c>
      <c r="F84" s="7">
        <v>2613</v>
      </c>
      <c r="G84" s="7">
        <v>455</v>
      </c>
      <c r="H84" s="7">
        <v>228</v>
      </c>
      <c r="I84" s="7">
        <v>21645</v>
      </c>
      <c r="J84" s="11">
        <v>0.15227535227535227</v>
      </c>
      <c r="K84" s="7">
        <v>61334</v>
      </c>
      <c r="L84" s="7">
        <v>261</v>
      </c>
      <c r="M84" s="6" t="s">
        <v>19</v>
      </c>
      <c r="N84" s="6" t="s">
        <v>14</v>
      </c>
    </row>
    <row r="85" spans="1:14" x14ac:dyDescent="0.25">
      <c r="A85" s="6" t="s">
        <v>112</v>
      </c>
      <c r="B85" s="6" t="s">
        <v>17</v>
      </c>
      <c r="C85" s="9">
        <v>45516</v>
      </c>
      <c r="D85" s="6" t="s">
        <v>53</v>
      </c>
      <c r="E85" s="6" t="s">
        <v>60</v>
      </c>
      <c r="F85" s="7">
        <v>2842</v>
      </c>
      <c r="G85" s="7">
        <v>213</v>
      </c>
      <c r="H85" s="7">
        <v>331</v>
      </c>
      <c r="I85" s="7">
        <v>57660</v>
      </c>
      <c r="J85" s="11">
        <v>5.8723551855705859E-2</v>
      </c>
      <c r="K85" s="7">
        <v>68606</v>
      </c>
      <c r="L85" s="7">
        <v>87</v>
      </c>
      <c r="M85" s="6" t="s">
        <v>19</v>
      </c>
      <c r="N85" s="6" t="s">
        <v>14</v>
      </c>
    </row>
    <row r="86" spans="1:14" x14ac:dyDescent="0.25">
      <c r="A86" s="6" t="s">
        <v>112</v>
      </c>
      <c r="B86" s="6" t="s">
        <v>17</v>
      </c>
      <c r="C86" s="9">
        <v>45516</v>
      </c>
      <c r="D86" s="6" t="s">
        <v>53</v>
      </c>
      <c r="E86" s="6" t="s">
        <v>60</v>
      </c>
      <c r="F86" s="7">
        <v>2842</v>
      </c>
      <c r="G86" s="7">
        <v>213</v>
      </c>
      <c r="H86" s="7">
        <v>331</v>
      </c>
      <c r="I86" s="7">
        <v>57660</v>
      </c>
      <c r="J86" s="11">
        <v>5.8723551855705859E-2</v>
      </c>
      <c r="K86" s="7">
        <v>68606</v>
      </c>
      <c r="L86" s="7">
        <v>87</v>
      </c>
      <c r="M86" s="6" t="s">
        <v>19</v>
      </c>
      <c r="N86" s="6" t="s">
        <v>18</v>
      </c>
    </row>
    <row r="87" spans="1:14" x14ac:dyDescent="0.25">
      <c r="A87" s="6" t="s">
        <v>113</v>
      </c>
      <c r="B87" s="6" t="s">
        <v>11</v>
      </c>
      <c r="C87" s="9">
        <v>45722</v>
      </c>
      <c r="D87" s="6" t="s">
        <v>48</v>
      </c>
      <c r="E87" s="6" t="s">
        <v>62</v>
      </c>
      <c r="F87" s="7">
        <v>4851</v>
      </c>
      <c r="G87" s="7">
        <v>460</v>
      </c>
      <c r="H87" s="7">
        <v>212</v>
      </c>
      <c r="I87" s="7">
        <v>58075</v>
      </c>
      <c r="J87" s="11">
        <v>9.5101162290142052E-2</v>
      </c>
      <c r="K87" s="7">
        <v>59574</v>
      </c>
      <c r="L87" s="7">
        <v>239</v>
      </c>
      <c r="M87" s="6" t="s">
        <v>23</v>
      </c>
      <c r="N87" s="6" t="s">
        <v>26</v>
      </c>
    </row>
    <row r="88" spans="1:14" x14ac:dyDescent="0.25">
      <c r="A88" s="6" t="s">
        <v>114</v>
      </c>
      <c r="B88" s="6" t="s">
        <v>17</v>
      </c>
      <c r="C88" s="9">
        <v>45420</v>
      </c>
      <c r="D88" s="6" t="s">
        <v>48</v>
      </c>
      <c r="E88" s="6" t="s">
        <v>51</v>
      </c>
      <c r="F88" s="7">
        <v>1828</v>
      </c>
      <c r="G88" s="7">
        <v>450</v>
      </c>
      <c r="H88" s="7">
        <v>214</v>
      </c>
      <c r="I88" s="7">
        <v>52115</v>
      </c>
      <c r="J88" s="11">
        <v>4.781732706514439E-2</v>
      </c>
      <c r="K88" s="7">
        <v>19166</v>
      </c>
      <c r="L88" s="7">
        <v>190</v>
      </c>
      <c r="M88" s="6" t="s">
        <v>19</v>
      </c>
      <c r="N88" s="6" t="s">
        <v>18</v>
      </c>
    </row>
    <row r="89" spans="1:14" x14ac:dyDescent="0.25">
      <c r="A89" s="6" t="s">
        <v>115</v>
      </c>
      <c r="B89" s="6" t="s">
        <v>11</v>
      </c>
      <c r="C89" s="9">
        <v>45707</v>
      </c>
      <c r="D89" s="6" t="s">
        <v>53</v>
      </c>
      <c r="E89" s="6" t="s">
        <v>71</v>
      </c>
      <c r="F89" s="7">
        <v>2422</v>
      </c>
      <c r="G89" s="7">
        <v>455</v>
      </c>
      <c r="H89" s="7">
        <v>376</v>
      </c>
      <c r="I89" s="7">
        <v>23428</v>
      </c>
      <c r="J89" s="11">
        <v>0.13885094758408742</v>
      </c>
      <c r="K89" s="7">
        <v>46775</v>
      </c>
      <c r="L89" s="7">
        <v>259</v>
      </c>
      <c r="M89" s="6" t="s">
        <v>15</v>
      </c>
      <c r="N89" s="6" t="s">
        <v>18</v>
      </c>
    </row>
    <row r="90" spans="1:14" x14ac:dyDescent="0.25">
      <c r="A90" s="6" t="s">
        <v>116</v>
      </c>
      <c r="B90" s="6" t="s">
        <v>11</v>
      </c>
      <c r="C90" s="9">
        <v>45299</v>
      </c>
      <c r="D90" s="6" t="s">
        <v>48</v>
      </c>
      <c r="E90" s="6" t="s">
        <v>65</v>
      </c>
      <c r="F90" s="7">
        <v>2683</v>
      </c>
      <c r="G90" s="7">
        <v>405</v>
      </c>
      <c r="H90" s="7">
        <v>223</v>
      </c>
      <c r="I90" s="7">
        <v>31233</v>
      </c>
      <c r="J90" s="11">
        <v>0.10600966926007749</v>
      </c>
      <c r="K90" s="7">
        <v>58106</v>
      </c>
      <c r="L90" s="7">
        <v>291</v>
      </c>
      <c r="M90" s="6" t="s">
        <v>23</v>
      </c>
      <c r="N90" s="6" t="s">
        <v>26</v>
      </c>
    </row>
    <row r="91" spans="1:14" x14ac:dyDescent="0.25">
      <c r="A91" s="6" t="s">
        <v>117</v>
      </c>
      <c r="B91" s="6" t="s">
        <v>12</v>
      </c>
      <c r="C91" s="9">
        <v>45490</v>
      </c>
      <c r="D91" s="6" t="s">
        <v>48</v>
      </c>
      <c r="E91" s="6" t="s">
        <v>65</v>
      </c>
      <c r="F91" s="7">
        <v>3135</v>
      </c>
      <c r="G91" s="7">
        <v>110</v>
      </c>
      <c r="H91" s="7">
        <v>215</v>
      </c>
      <c r="I91" s="7">
        <v>39192</v>
      </c>
      <c r="J91" s="11">
        <v>8.8283323127168814E-2</v>
      </c>
      <c r="K91" s="7">
        <v>24744</v>
      </c>
      <c r="L91" s="7">
        <v>177</v>
      </c>
      <c r="M91" s="6" t="s">
        <v>23</v>
      </c>
      <c r="N91" s="6" t="s">
        <v>26</v>
      </c>
    </row>
    <row r="92" spans="1:14" x14ac:dyDescent="0.25">
      <c r="A92" s="6" t="s">
        <v>117</v>
      </c>
      <c r="B92" s="6" t="s">
        <v>12</v>
      </c>
      <c r="C92" s="9">
        <v>45490</v>
      </c>
      <c r="D92" s="6" t="s">
        <v>48</v>
      </c>
      <c r="E92" s="6" t="s">
        <v>65</v>
      </c>
      <c r="F92" s="7">
        <v>3135</v>
      </c>
      <c r="G92" s="7">
        <v>110</v>
      </c>
      <c r="H92" s="7">
        <v>215</v>
      </c>
      <c r="I92" s="7">
        <v>39192</v>
      </c>
      <c r="J92" s="11">
        <v>8.8283323127168814E-2</v>
      </c>
      <c r="K92" s="7">
        <v>24744</v>
      </c>
      <c r="L92" s="7">
        <v>177</v>
      </c>
      <c r="M92" s="6" t="s">
        <v>23</v>
      </c>
      <c r="N92" s="6" t="s">
        <v>13</v>
      </c>
    </row>
    <row r="93" spans="1:14" x14ac:dyDescent="0.25">
      <c r="A93" s="6" t="s">
        <v>118</v>
      </c>
      <c r="B93" s="6" t="s">
        <v>12</v>
      </c>
      <c r="C93" s="9">
        <v>45514</v>
      </c>
      <c r="D93" s="6" t="s">
        <v>48</v>
      </c>
      <c r="E93" s="6" t="s">
        <v>71</v>
      </c>
      <c r="F93" s="7">
        <v>1105</v>
      </c>
      <c r="G93" s="7">
        <v>181</v>
      </c>
      <c r="H93" s="7">
        <v>55</v>
      </c>
      <c r="I93" s="7">
        <v>53581</v>
      </c>
      <c r="J93" s="11">
        <v>2.50275284149232E-2</v>
      </c>
      <c r="K93" s="7">
        <v>74048</v>
      </c>
      <c r="L93" s="7">
        <v>220</v>
      </c>
      <c r="M93" s="6" t="s">
        <v>23</v>
      </c>
      <c r="N93" s="6" t="s">
        <v>26</v>
      </c>
    </row>
    <row r="94" spans="1:14" x14ac:dyDescent="0.25">
      <c r="A94" s="6" t="s">
        <v>118</v>
      </c>
      <c r="B94" s="6" t="s">
        <v>12</v>
      </c>
      <c r="C94" s="9">
        <v>45514</v>
      </c>
      <c r="D94" s="6" t="s">
        <v>48</v>
      </c>
      <c r="E94" s="6" t="s">
        <v>71</v>
      </c>
      <c r="F94" s="7">
        <v>1105</v>
      </c>
      <c r="G94" s="7">
        <v>181</v>
      </c>
      <c r="H94" s="7">
        <v>55</v>
      </c>
      <c r="I94" s="7">
        <v>53581</v>
      </c>
      <c r="J94" s="11">
        <v>2.50275284149232E-2</v>
      </c>
      <c r="K94" s="7">
        <v>74048</v>
      </c>
      <c r="L94" s="7">
        <v>220</v>
      </c>
      <c r="M94" s="6" t="s">
        <v>23</v>
      </c>
      <c r="N94" s="6" t="s">
        <v>13</v>
      </c>
    </row>
    <row r="95" spans="1:14" x14ac:dyDescent="0.25">
      <c r="A95" s="6" t="s">
        <v>119</v>
      </c>
      <c r="B95" s="6" t="s">
        <v>12</v>
      </c>
      <c r="C95" s="9">
        <v>45398</v>
      </c>
      <c r="D95" s="6" t="s">
        <v>48</v>
      </c>
      <c r="E95" s="6" t="s">
        <v>49</v>
      </c>
      <c r="F95" s="7">
        <v>4674</v>
      </c>
      <c r="G95" s="7">
        <v>326</v>
      </c>
      <c r="H95" s="7">
        <v>62</v>
      </c>
      <c r="I95" s="7">
        <v>45503</v>
      </c>
      <c r="J95" s="11">
        <v>0.11124541239039185</v>
      </c>
      <c r="K95" s="7">
        <v>46814</v>
      </c>
      <c r="L95" s="7">
        <v>116</v>
      </c>
      <c r="M95" s="6" t="s">
        <v>23</v>
      </c>
      <c r="N95" s="6" t="s">
        <v>26</v>
      </c>
    </row>
    <row r="96" spans="1:14" x14ac:dyDescent="0.25">
      <c r="A96" s="6" t="s">
        <v>119</v>
      </c>
      <c r="B96" s="6" t="s">
        <v>12</v>
      </c>
      <c r="C96" s="9">
        <v>45398</v>
      </c>
      <c r="D96" s="6" t="s">
        <v>48</v>
      </c>
      <c r="E96" s="6" t="s">
        <v>49</v>
      </c>
      <c r="F96" s="7">
        <v>4674</v>
      </c>
      <c r="G96" s="7">
        <v>326</v>
      </c>
      <c r="H96" s="7">
        <v>62</v>
      </c>
      <c r="I96" s="7">
        <v>45503</v>
      </c>
      <c r="J96" s="11">
        <v>0.11124541239039185</v>
      </c>
      <c r="K96" s="7">
        <v>46814</v>
      </c>
      <c r="L96" s="7">
        <v>116</v>
      </c>
      <c r="M96" s="6" t="s">
        <v>23</v>
      </c>
      <c r="N96" s="6" t="s">
        <v>13</v>
      </c>
    </row>
    <row r="97" spans="1:14" x14ac:dyDescent="0.25">
      <c r="A97" s="6" t="s">
        <v>120</v>
      </c>
      <c r="B97" s="6" t="s">
        <v>12</v>
      </c>
      <c r="C97" s="9">
        <v>45292</v>
      </c>
      <c r="D97" s="6" t="s">
        <v>78</v>
      </c>
      <c r="E97" s="6" t="s">
        <v>51</v>
      </c>
      <c r="F97" s="7">
        <v>3437</v>
      </c>
      <c r="G97" s="7">
        <v>129</v>
      </c>
      <c r="H97" s="7">
        <v>359</v>
      </c>
      <c r="I97" s="7">
        <v>44558</v>
      </c>
      <c r="J97" s="11">
        <v>8.8087436599488311E-2</v>
      </c>
      <c r="K97" s="7">
        <v>30854</v>
      </c>
      <c r="L97" s="7">
        <v>171</v>
      </c>
      <c r="M97" s="6" t="s">
        <v>9</v>
      </c>
      <c r="N97" s="6" t="s">
        <v>26</v>
      </c>
    </row>
    <row r="98" spans="1:14" x14ac:dyDescent="0.25">
      <c r="A98" s="6" t="s">
        <v>120</v>
      </c>
      <c r="B98" s="6" t="s">
        <v>12</v>
      </c>
      <c r="C98" s="9">
        <v>45292</v>
      </c>
      <c r="D98" s="6" t="s">
        <v>78</v>
      </c>
      <c r="E98" s="6" t="s">
        <v>51</v>
      </c>
      <c r="F98" s="7">
        <v>3437</v>
      </c>
      <c r="G98" s="7">
        <v>129</v>
      </c>
      <c r="H98" s="7">
        <v>359</v>
      </c>
      <c r="I98" s="7">
        <v>44558</v>
      </c>
      <c r="J98" s="11">
        <v>8.8087436599488311E-2</v>
      </c>
      <c r="K98" s="7">
        <v>30854</v>
      </c>
      <c r="L98" s="7">
        <v>171</v>
      </c>
      <c r="M98" s="6" t="s">
        <v>9</v>
      </c>
      <c r="N98" s="6" t="s">
        <v>22</v>
      </c>
    </row>
    <row r="99" spans="1:14" x14ac:dyDescent="0.25">
      <c r="A99" s="6" t="s">
        <v>121</v>
      </c>
      <c r="B99" s="6" t="s">
        <v>17</v>
      </c>
      <c r="C99" s="9">
        <v>45599</v>
      </c>
      <c r="D99" s="6" t="s">
        <v>53</v>
      </c>
      <c r="E99" s="6" t="s">
        <v>56</v>
      </c>
      <c r="F99" s="7">
        <v>1959</v>
      </c>
      <c r="G99" s="7">
        <v>316</v>
      </c>
      <c r="H99" s="7">
        <v>82</v>
      </c>
      <c r="I99" s="7">
        <v>54036</v>
      </c>
      <c r="J99" s="11">
        <v>4.3619068768968837E-2</v>
      </c>
      <c r="K99" s="7">
        <v>69015</v>
      </c>
      <c r="L99" s="7">
        <v>182</v>
      </c>
      <c r="M99" s="6" t="s">
        <v>19</v>
      </c>
      <c r="N99" s="6" t="s">
        <v>14</v>
      </c>
    </row>
    <row r="100" spans="1:14" x14ac:dyDescent="0.25">
      <c r="A100" s="6" t="s">
        <v>121</v>
      </c>
      <c r="B100" s="6" t="s">
        <v>17</v>
      </c>
      <c r="C100" s="9">
        <v>45599</v>
      </c>
      <c r="D100" s="6" t="s">
        <v>53</v>
      </c>
      <c r="E100" s="6" t="s">
        <v>56</v>
      </c>
      <c r="F100" s="7">
        <v>1959</v>
      </c>
      <c r="G100" s="7">
        <v>316</v>
      </c>
      <c r="H100" s="7">
        <v>82</v>
      </c>
      <c r="I100" s="7">
        <v>54036</v>
      </c>
      <c r="J100" s="11">
        <v>4.3619068768968837E-2</v>
      </c>
      <c r="K100" s="7">
        <v>69015</v>
      </c>
      <c r="L100" s="7">
        <v>182</v>
      </c>
      <c r="M100" s="6" t="s">
        <v>19</v>
      </c>
      <c r="N100" s="6" t="s">
        <v>18</v>
      </c>
    </row>
    <row r="101" spans="1:14" x14ac:dyDescent="0.25">
      <c r="A101" s="6" t="s">
        <v>122</v>
      </c>
      <c r="B101" s="6" t="s">
        <v>17</v>
      </c>
      <c r="C101" s="9">
        <v>45480</v>
      </c>
      <c r="D101" s="6" t="s">
        <v>48</v>
      </c>
      <c r="E101" s="6" t="s">
        <v>54</v>
      </c>
      <c r="F101" s="7">
        <v>1035</v>
      </c>
      <c r="G101" s="7">
        <v>137</v>
      </c>
      <c r="H101" s="7">
        <v>184</v>
      </c>
      <c r="I101" s="7">
        <v>37302</v>
      </c>
      <c r="J101" s="11">
        <v>3.6351938233874857E-2</v>
      </c>
      <c r="K101" s="7">
        <v>68953</v>
      </c>
      <c r="L101" s="7">
        <v>237</v>
      </c>
      <c r="M101" s="6" t="s">
        <v>23</v>
      </c>
      <c r="N101" s="6" t="s">
        <v>22</v>
      </c>
    </row>
    <row r="102" spans="1:14" x14ac:dyDescent="0.25">
      <c r="A102" s="6" t="s">
        <v>123</v>
      </c>
      <c r="B102" s="6" t="s">
        <v>17</v>
      </c>
      <c r="C102" s="9">
        <v>45679</v>
      </c>
      <c r="D102" s="6" t="s">
        <v>53</v>
      </c>
      <c r="E102" s="6" t="s">
        <v>54</v>
      </c>
      <c r="F102" s="7">
        <v>4478</v>
      </c>
      <c r="G102" s="7">
        <v>101</v>
      </c>
      <c r="H102" s="7">
        <v>121</v>
      </c>
      <c r="I102" s="7">
        <v>51035</v>
      </c>
      <c r="J102" s="11">
        <v>9.2093661212893113E-2</v>
      </c>
      <c r="K102" s="7">
        <v>58207</v>
      </c>
      <c r="L102" s="7">
        <v>205</v>
      </c>
      <c r="M102" s="6" t="s">
        <v>19</v>
      </c>
      <c r="N102" s="6" t="s">
        <v>14</v>
      </c>
    </row>
    <row r="103" spans="1:14" x14ac:dyDescent="0.25">
      <c r="A103" s="6" t="s">
        <v>123</v>
      </c>
      <c r="B103" s="6" t="s">
        <v>17</v>
      </c>
      <c r="C103" s="9">
        <v>45679</v>
      </c>
      <c r="D103" s="6" t="s">
        <v>53</v>
      </c>
      <c r="E103" s="6" t="s">
        <v>54</v>
      </c>
      <c r="F103" s="7">
        <v>4478</v>
      </c>
      <c r="G103" s="7">
        <v>101</v>
      </c>
      <c r="H103" s="7">
        <v>121</v>
      </c>
      <c r="I103" s="7">
        <v>51035</v>
      </c>
      <c r="J103" s="11">
        <v>9.2093661212893113E-2</v>
      </c>
      <c r="K103" s="7">
        <v>58207</v>
      </c>
      <c r="L103" s="7">
        <v>205</v>
      </c>
      <c r="M103" s="6" t="s">
        <v>19</v>
      </c>
      <c r="N103" s="6" t="s">
        <v>18</v>
      </c>
    </row>
    <row r="104" spans="1:14" x14ac:dyDescent="0.25">
      <c r="A104" s="6" t="s">
        <v>124</v>
      </c>
      <c r="B104" s="6" t="s">
        <v>12</v>
      </c>
      <c r="C104" s="9">
        <v>45438</v>
      </c>
      <c r="D104" s="6" t="s">
        <v>48</v>
      </c>
      <c r="E104" s="6" t="s">
        <v>71</v>
      </c>
      <c r="F104" s="7">
        <v>1488</v>
      </c>
      <c r="G104" s="7">
        <v>327</v>
      </c>
      <c r="H104" s="7">
        <v>110</v>
      </c>
      <c r="I104" s="7">
        <v>53805</v>
      </c>
      <c r="J104" s="11">
        <v>3.5777344113000653E-2</v>
      </c>
      <c r="K104" s="7">
        <v>30239</v>
      </c>
      <c r="L104" s="7">
        <v>109</v>
      </c>
      <c r="M104" s="6" t="s">
        <v>23</v>
      </c>
      <c r="N104" s="6" t="s">
        <v>26</v>
      </c>
    </row>
    <row r="105" spans="1:14" x14ac:dyDescent="0.25">
      <c r="A105" s="6" t="s">
        <v>124</v>
      </c>
      <c r="B105" s="6" t="s">
        <v>12</v>
      </c>
      <c r="C105" s="9">
        <v>45438</v>
      </c>
      <c r="D105" s="6" t="s">
        <v>48</v>
      </c>
      <c r="E105" s="6" t="s">
        <v>71</v>
      </c>
      <c r="F105" s="7">
        <v>1488</v>
      </c>
      <c r="G105" s="7">
        <v>327</v>
      </c>
      <c r="H105" s="7">
        <v>110</v>
      </c>
      <c r="I105" s="7">
        <v>53805</v>
      </c>
      <c r="J105" s="11">
        <v>3.5777344113000653E-2</v>
      </c>
      <c r="K105" s="7">
        <v>30239</v>
      </c>
      <c r="L105" s="7">
        <v>109</v>
      </c>
      <c r="M105" s="6" t="s">
        <v>23</v>
      </c>
      <c r="N105" s="6" t="s">
        <v>13</v>
      </c>
    </row>
    <row r="106" spans="1:14" x14ac:dyDescent="0.25">
      <c r="A106" s="6" t="s">
        <v>125</v>
      </c>
      <c r="B106" s="6" t="s">
        <v>11</v>
      </c>
      <c r="C106" s="9">
        <v>45763</v>
      </c>
      <c r="D106" s="6" t="s">
        <v>48</v>
      </c>
      <c r="E106" s="6" t="s">
        <v>56</v>
      </c>
      <c r="F106" s="7">
        <v>4836</v>
      </c>
      <c r="G106" s="7">
        <v>331</v>
      </c>
      <c r="H106" s="7">
        <v>140</v>
      </c>
      <c r="I106" s="7">
        <v>58792</v>
      </c>
      <c r="J106" s="11">
        <v>9.0267383317458164E-2</v>
      </c>
      <c r="K106" s="7">
        <v>47711</v>
      </c>
      <c r="L106" s="7">
        <v>227</v>
      </c>
      <c r="M106" s="6" t="s">
        <v>19</v>
      </c>
      <c r="N106" s="6" t="s">
        <v>22</v>
      </c>
    </row>
    <row r="107" spans="1:14" x14ac:dyDescent="0.25">
      <c r="A107" s="6" t="s">
        <v>125</v>
      </c>
      <c r="B107" s="6" t="s">
        <v>11</v>
      </c>
      <c r="C107" s="9">
        <v>45763</v>
      </c>
      <c r="D107" s="6" t="s">
        <v>48</v>
      </c>
      <c r="E107" s="6" t="s">
        <v>56</v>
      </c>
      <c r="F107" s="7">
        <v>4836</v>
      </c>
      <c r="G107" s="7">
        <v>331</v>
      </c>
      <c r="H107" s="7">
        <v>140</v>
      </c>
      <c r="I107" s="7">
        <v>58792</v>
      </c>
      <c r="J107" s="11">
        <v>9.0267383317458164E-2</v>
      </c>
      <c r="K107" s="7">
        <v>47711</v>
      </c>
      <c r="L107" s="7">
        <v>227</v>
      </c>
      <c r="M107" s="6" t="s">
        <v>19</v>
      </c>
      <c r="N107" s="6" t="s">
        <v>18</v>
      </c>
    </row>
    <row r="108" spans="1:14" x14ac:dyDescent="0.25">
      <c r="A108" s="6" t="s">
        <v>126</v>
      </c>
      <c r="B108" s="6" t="s">
        <v>12</v>
      </c>
      <c r="C108" s="9">
        <v>45384</v>
      </c>
      <c r="D108" s="6" t="s">
        <v>78</v>
      </c>
      <c r="E108" s="6" t="s">
        <v>73</v>
      </c>
      <c r="F108" s="7">
        <v>4563</v>
      </c>
      <c r="G108" s="7">
        <v>488</v>
      </c>
      <c r="H108" s="7">
        <v>356</v>
      </c>
      <c r="I108" s="7">
        <v>30619</v>
      </c>
      <c r="J108" s="11">
        <v>0.17658969920637513</v>
      </c>
      <c r="K108" s="7">
        <v>23328</v>
      </c>
      <c r="L108" s="7">
        <v>267</v>
      </c>
      <c r="M108" s="6" t="s">
        <v>9</v>
      </c>
      <c r="N108" s="6" t="s">
        <v>26</v>
      </c>
    </row>
    <row r="109" spans="1:14" x14ac:dyDescent="0.25">
      <c r="A109" s="6" t="s">
        <v>126</v>
      </c>
      <c r="B109" s="6" t="s">
        <v>12</v>
      </c>
      <c r="C109" s="9">
        <v>45384</v>
      </c>
      <c r="D109" s="6" t="s">
        <v>78</v>
      </c>
      <c r="E109" s="6" t="s">
        <v>73</v>
      </c>
      <c r="F109" s="7">
        <v>4563</v>
      </c>
      <c r="G109" s="7">
        <v>488</v>
      </c>
      <c r="H109" s="7">
        <v>356</v>
      </c>
      <c r="I109" s="7">
        <v>30619</v>
      </c>
      <c r="J109" s="11">
        <v>0.17658969920637513</v>
      </c>
      <c r="K109" s="7">
        <v>23328</v>
      </c>
      <c r="L109" s="7">
        <v>267</v>
      </c>
      <c r="M109" s="6" t="s">
        <v>9</v>
      </c>
      <c r="N109" s="6" t="s">
        <v>22</v>
      </c>
    </row>
    <row r="110" spans="1:14" x14ac:dyDescent="0.25">
      <c r="A110" s="6" t="s">
        <v>127</v>
      </c>
      <c r="B110" s="6" t="s">
        <v>17</v>
      </c>
      <c r="C110" s="9">
        <v>45379</v>
      </c>
      <c r="D110" s="6" t="s">
        <v>48</v>
      </c>
      <c r="E110" s="6" t="s">
        <v>58</v>
      </c>
      <c r="F110" s="7">
        <v>3276</v>
      </c>
      <c r="G110" s="7">
        <v>421</v>
      </c>
      <c r="H110" s="7">
        <v>114</v>
      </c>
      <c r="I110" s="7">
        <v>20580</v>
      </c>
      <c r="J110" s="11">
        <v>0.18517978620019437</v>
      </c>
      <c r="K110" s="7">
        <v>30324</v>
      </c>
      <c r="L110" s="7">
        <v>221</v>
      </c>
      <c r="M110" s="6" t="s">
        <v>23</v>
      </c>
      <c r="N110" s="6" t="s">
        <v>22</v>
      </c>
    </row>
    <row r="111" spans="1:14" x14ac:dyDescent="0.25">
      <c r="A111" s="6" t="s">
        <v>128</v>
      </c>
      <c r="B111" s="6" t="s">
        <v>17</v>
      </c>
      <c r="C111" s="9">
        <v>45643</v>
      </c>
      <c r="D111" s="6" t="s">
        <v>53</v>
      </c>
      <c r="E111" s="6" t="s">
        <v>58</v>
      </c>
      <c r="F111" s="7">
        <v>1316</v>
      </c>
      <c r="G111" s="7">
        <v>472</v>
      </c>
      <c r="H111" s="7">
        <v>286</v>
      </c>
      <c r="I111" s="7">
        <v>44692</v>
      </c>
      <c r="J111" s="11">
        <v>4.6406515707509172E-2</v>
      </c>
      <c r="K111" s="7">
        <v>53343</v>
      </c>
      <c r="L111" s="7">
        <v>227</v>
      </c>
      <c r="M111" s="6" t="s">
        <v>19</v>
      </c>
      <c r="N111" s="6" t="s">
        <v>26</v>
      </c>
    </row>
    <row r="112" spans="1:14" x14ac:dyDescent="0.25">
      <c r="A112" s="6" t="s">
        <v>128</v>
      </c>
      <c r="B112" s="6" t="s">
        <v>17</v>
      </c>
      <c r="C112" s="9">
        <v>45643</v>
      </c>
      <c r="D112" s="6" t="s">
        <v>53</v>
      </c>
      <c r="E112" s="6" t="s">
        <v>58</v>
      </c>
      <c r="F112" s="7">
        <v>1316</v>
      </c>
      <c r="G112" s="7">
        <v>472</v>
      </c>
      <c r="H112" s="7">
        <v>286</v>
      </c>
      <c r="I112" s="7">
        <v>44692</v>
      </c>
      <c r="J112" s="11">
        <v>4.6406515707509172E-2</v>
      </c>
      <c r="K112" s="7">
        <v>53343</v>
      </c>
      <c r="L112" s="7">
        <v>227</v>
      </c>
      <c r="M112" s="6" t="s">
        <v>19</v>
      </c>
      <c r="N112" s="6" t="s">
        <v>14</v>
      </c>
    </row>
    <row r="113" spans="1:14" x14ac:dyDescent="0.25">
      <c r="A113" s="6" t="s">
        <v>129</v>
      </c>
      <c r="B113" s="6" t="s">
        <v>17</v>
      </c>
      <c r="C113" s="9">
        <v>45662</v>
      </c>
      <c r="D113" s="6" t="s">
        <v>48</v>
      </c>
      <c r="E113" s="6" t="s">
        <v>56</v>
      </c>
      <c r="F113" s="7">
        <v>4811</v>
      </c>
      <c r="G113" s="7">
        <v>473</v>
      </c>
      <c r="H113" s="7">
        <v>254</v>
      </c>
      <c r="I113" s="7">
        <v>51964</v>
      </c>
      <c r="J113" s="11">
        <v>0.10657378184897237</v>
      </c>
      <c r="K113" s="7">
        <v>68795</v>
      </c>
      <c r="L113" s="7">
        <v>107</v>
      </c>
      <c r="M113" s="6" t="s">
        <v>19</v>
      </c>
      <c r="N113" s="6" t="s">
        <v>18</v>
      </c>
    </row>
    <row r="114" spans="1:14" x14ac:dyDescent="0.25">
      <c r="A114" s="6" t="s">
        <v>130</v>
      </c>
      <c r="B114" s="6" t="s">
        <v>17</v>
      </c>
      <c r="C114" s="9">
        <v>45302</v>
      </c>
      <c r="D114" s="6" t="s">
        <v>48</v>
      </c>
      <c r="E114" s="6" t="s">
        <v>60</v>
      </c>
      <c r="F114" s="7">
        <v>4218</v>
      </c>
      <c r="G114" s="7">
        <v>247</v>
      </c>
      <c r="H114" s="7">
        <v>183</v>
      </c>
      <c r="I114" s="7">
        <v>28914</v>
      </c>
      <c r="J114" s="11">
        <v>0.1607525766064882</v>
      </c>
      <c r="K114" s="7">
        <v>18310</v>
      </c>
      <c r="L114" s="7">
        <v>135</v>
      </c>
      <c r="M114" s="6" t="s">
        <v>23</v>
      </c>
      <c r="N114" s="6" t="s">
        <v>22</v>
      </c>
    </row>
    <row r="115" spans="1:14" x14ac:dyDescent="0.25">
      <c r="A115" s="6" t="s">
        <v>131</v>
      </c>
      <c r="B115" s="6" t="s">
        <v>11</v>
      </c>
      <c r="C115" s="9">
        <v>45576</v>
      </c>
      <c r="D115" s="6" t="s">
        <v>48</v>
      </c>
      <c r="E115" s="6" t="s">
        <v>71</v>
      </c>
      <c r="F115" s="7">
        <v>1360</v>
      </c>
      <c r="G115" s="7">
        <v>249</v>
      </c>
      <c r="H115" s="7">
        <v>52</v>
      </c>
      <c r="I115" s="7">
        <v>20368</v>
      </c>
      <c r="J115" s="11">
        <v>8.1549489395129612E-2</v>
      </c>
      <c r="K115" s="7">
        <v>42152</v>
      </c>
      <c r="L115" s="7">
        <v>193</v>
      </c>
      <c r="M115" s="6" t="s">
        <v>23</v>
      </c>
      <c r="N115" s="6" t="s">
        <v>26</v>
      </c>
    </row>
    <row r="116" spans="1:14" x14ac:dyDescent="0.25">
      <c r="A116" s="6" t="s">
        <v>132</v>
      </c>
      <c r="B116" s="6" t="s">
        <v>12</v>
      </c>
      <c r="C116" s="9">
        <v>45783</v>
      </c>
      <c r="D116" s="6" t="s">
        <v>78</v>
      </c>
      <c r="E116" s="6" t="s">
        <v>49</v>
      </c>
      <c r="F116" s="7">
        <v>1085</v>
      </c>
      <c r="G116" s="7">
        <v>496</v>
      </c>
      <c r="H116" s="7">
        <v>320</v>
      </c>
      <c r="I116" s="7">
        <v>36528</v>
      </c>
      <c r="J116" s="11">
        <v>5.2042268944371438E-2</v>
      </c>
      <c r="K116" s="7">
        <v>38599</v>
      </c>
      <c r="L116" s="7">
        <v>270</v>
      </c>
      <c r="M116" s="6" t="s">
        <v>9</v>
      </c>
      <c r="N116" s="6" t="s">
        <v>26</v>
      </c>
    </row>
    <row r="117" spans="1:14" x14ac:dyDescent="0.25">
      <c r="A117" s="6" t="s">
        <v>132</v>
      </c>
      <c r="B117" s="6" t="s">
        <v>12</v>
      </c>
      <c r="C117" s="9">
        <v>45783</v>
      </c>
      <c r="D117" s="6" t="s">
        <v>78</v>
      </c>
      <c r="E117" s="6" t="s">
        <v>49</v>
      </c>
      <c r="F117" s="7">
        <v>1085</v>
      </c>
      <c r="G117" s="7">
        <v>496</v>
      </c>
      <c r="H117" s="7">
        <v>320</v>
      </c>
      <c r="I117" s="7">
        <v>36528</v>
      </c>
      <c r="J117" s="11">
        <v>5.2042268944371438E-2</v>
      </c>
      <c r="K117" s="7">
        <v>38599</v>
      </c>
      <c r="L117" s="7">
        <v>270</v>
      </c>
      <c r="M117" s="6" t="s">
        <v>9</v>
      </c>
      <c r="N117" s="6" t="s">
        <v>22</v>
      </c>
    </row>
    <row r="118" spans="1:14" x14ac:dyDescent="0.25">
      <c r="A118" s="6" t="s">
        <v>133</v>
      </c>
      <c r="B118" s="6" t="s">
        <v>17</v>
      </c>
      <c r="C118" s="9">
        <v>45431</v>
      </c>
      <c r="D118" s="6" t="s">
        <v>53</v>
      </c>
      <c r="E118" s="6" t="s">
        <v>62</v>
      </c>
      <c r="F118" s="7">
        <v>1763</v>
      </c>
      <c r="G118" s="7">
        <v>206</v>
      </c>
      <c r="H118" s="7">
        <v>187</v>
      </c>
      <c r="I118" s="7">
        <v>53342</v>
      </c>
      <c r="J118" s="11">
        <v>4.0418432004799221E-2</v>
      </c>
      <c r="K118" s="7">
        <v>25095</v>
      </c>
      <c r="L118" s="7">
        <v>88</v>
      </c>
      <c r="M118" s="6" t="s">
        <v>19</v>
      </c>
      <c r="N118" s="6" t="s">
        <v>26</v>
      </c>
    </row>
    <row r="119" spans="1:14" x14ac:dyDescent="0.25">
      <c r="A119" s="6" t="s">
        <v>133</v>
      </c>
      <c r="B119" s="6" t="s">
        <v>17</v>
      </c>
      <c r="C119" s="9">
        <v>45431</v>
      </c>
      <c r="D119" s="6" t="s">
        <v>53</v>
      </c>
      <c r="E119" s="6" t="s">
        <v>62</v>
      </c>
      <c r="F119" s="7">
        <v>1763</v>
      </c>
      <c r="G119" s="7">
        <v>206</v>
      </c>
      <c r="H119" s="7">
        <v>187</v>
      </c>
      <c r="I119" s="7">
        <v>53342</v>
      </c>
      <c r="J119" s="11">
        <v>4.0418432004799221E-2</v>
      </c>
      <c r="K119" s="7">
        <v>25095</v>
      </c>
      <c r="L119" s="7">
        <v>88</v>
      </c>
      <c r="M119" s="6" t="s">
        <v>19</v>
      </c>
      <c r="N119" s="6" t="s">
        <v>14</v>
      </c>
    </row>
    <row r="120" spans="1:14" x14ac:dyDescent="0.25">
      <c r="A120" s="6" t="s">
        <v>134</v>
      </c>
      <c r="B120" s="6" t="s">
        <v>17</v>
      </c>
      <c r="C120" s="9">
        <v>45313</v>
      </c>
      <c r="D120" s="6" t="s">
        <v>53</v>
      </c>
      <c r="E120" s="6" t="s">
        <v>71</v>
      </c>
      <c r="F120" s="7">
        <v>1554</v>
      </c>
      <c r="G120" s="7">
        <v>455</v>
      </c>
      <c r="H120" s="7">
        <v>158</v>
      </c>
      <c r="I120" s="7">
        <v>41947</v>
      </c>
      <c r="J120" s="11">
        <v>5.1660428636136076E-2</v>
      </c>
      <c r="K120" s="7">
        <v>48578</v>
      </c>
      <c r="L120" s="7">
        <v>101</v>
      </c>
      <c r="M120" s="6" t="s">
        <v>19</v>
      </c>
      <c r="N120" s="6" t="s">
        <v>22</v>
      </c>
    </row>
    <row r="121" spans="1:14" x14ac:dyDescent="0.25">
      <c r="A121" s="6" t="s">
        <v>134</v>
      </c>
      <c r="B121" s="6" t="s">
        <v>17</v>
      </c>
      <c r="C121" s="9">
        <v>45313</v>
      </c>
      <c r="D121" s="6" t="s">
        <v>53</v>
      </c>
      <c r="E121" s="6" t="s">
        <v>71</v>
      </c>
      <c r="F121" s="7">
        <v>1554</v>
      </c>
      <c r="G121" s="7">
        <v>455</v>
      </c>
      <c r="H121" s="7">
        <v>158</v>
      </c>
      <c r="I121" s="7">
        <v>41947</v>
      </c>
      <c r="J121" s="11">
        <v>5.1660428636136076E-2</v>
      </c>
      <c r="K121" s="7">
        <v>48578</v>
      </c>
      <c r="L121" s="7">
        <v>101</v>
      </c>
      <c r="M121" s="6" t="s">
        <v>19</v>
      </c>
      <c r="N121" s="6" t="s">
        <v>18</v>
      </c>
    </row>
    <row r="122" spans="1:14" x14ac:dyDescent="0.25">
      <c r="A122" s="6" t="s">
        <v>135</v>
      </c>
      <c r="B122" s="6" t="s">
        <v>11</v>
      </c>
      <c r="C122" s="9">
        <v>45487</v>
      </c>
      <c r="D122" s="6" t="s">
        <v>48</v>
      </c>
      <c r="E122" s="6" t="s">
        <v>56</v>
      </c>
      <c r="F122" s="7">
        <v>2464</v>
      </c>
      <c r="G122" s="7">
        <v>401</v>
      </c>
      <c r="H122" s="7">
        <v>78</v>
      </c>
      <c r="I122" s="7">
        <v>38665</v>
      </c>
      <c r="J122" s="11">
        <v>7.611534979956032E-2</v>
      </c>
      <c r="K122" s="7">
        <v>73593</v>
      </c>
      <c r="L122" s="7">
        <v>207</v>
      </c>
      <c r="M122" s="6" t="s">
        <v>23</v>
      </c>
      <c r="N122" s="6" t="s">
        <v>26</v>
      </c>
    </row>
    <row r="123" spans="1:14" x14ac:dyDescent="0.25">
      <c r="A123" s="6" t="s">
        <v>136</v>
      </c>
      <c r="B123" s="6" t="s">
        <v>17</v>
      </c>
      <c r="C123" s="9">
        <v>45805</v>
      </c>
      <c r="D123" s="6" t="s">
        <v>48</v>
      </c>
      <c r="E123" s="6" t="s">
        <v>71</v>
      </c>
      <c r="F123" s="7">
        <v>2418</v>
      </c>
      <c r="G123" s="7">
        <v>161</v>
      </c>
      <c r="H123" s="7">
        <v>360</v>
      </c>
      <c r="I123" s="7">
        <v>30589</v>
      </c>
      <c r="J123" s="11">
        <v>9.6080290300434801E-2</v>
      </c>
      <c r="K123" s="7">
        <v>41383</v>
      </c>
      <c r="L123" s="7">
        <v>88</v>
      </c>
      <c r="M123" s="6" t="s">
        <v>19</v>
      </c>
      <c r="N123" s="6" t="s">
        <v>18</v>
      </c>
    </row>
    <row r="124" spans="1:14" x14ac:dyDescent="0.25">
      <c r="A124" s="6" t="s">
        <v>137</v>
      </c>
      <c r="B124" s="6" t="s">
        <v>17</v>
      </c>
      <c r="C124" s="9">
        <v>45678</v>
      </c>
      <c r="D124" s="6" t="s">
        <v>53</v>
      </c>
      <c r="E124" s="6" t="s">
        <v>49</v>
      </c>
      <c r="F124" s="7">
        <v>2494</v>
      </c>
      <c r="G124" s="7">
        <v>494</v>
      </c>
      <c r="H124" s="7">
        <v>55</v>
      </c>
      <c r="I124" s="7">
        <v>22580</v>
      </c>
      <c r="J124" s="11">
        <v>0.13476527900797167</v>
      </c>
      <c r="K124" s="7">
        <v>22214</v>
      </c>
      <c r="L124" s="7">
        <v>109</v>
      </c>
      <c r="M124" s="6" t="s">
        <v>19</v>
      </c>
      <c r="N124" s="6" t="s">
        <v>14</v>
      </c>
    </row>
    <row r="125" spans="1:14" x14ac:dyDescent="0.25">
      <c r="A125" s="6" t="s">
        <v>137</v>
      </c>
      <c r="B125" s="6" t="s">
        <v>17</v>
      </c>
      <c r="C125" s="9">
        <v>45678</v>
      </c>
      <c r="D125" s="6" t="s">
        <v>53</v>
      </c>
      <c r="E125" s="6" t="s">
        <v>49</v>
      </c>
      <c r="F125" s="7">
        <v>2494</v>
      </c>
      <c r="G125" s="7">
        <v>494</v>
      </c>
      <c r="H125" s="7">
        <v>55</v>
      </c>
      <c r="I125" s="7">
        <v>22580</v>
      </c>
      <c r="J125" s="11">
        <v>0.13476527900797167</v>
      </c>
      <c r="K125" s="7">
        <v>22214</v>
      </c>
      <c r="L125" s="7">
        <v>109</v>
      </c>
      <c r="M125" s="6" t="s">
        <v>19</v>
      </c>
      <c r="N125" s="6" t="s">
        <v>18</v>
      </c>
    </row>
    <row r="126" spans="1:14" x14ac:dyDescent="0.25">
      <c r="A126" s="6" t="s">
        <v>138</v>
      </c>
      <c r="B126" s="6" t="s">
        <v>12</v>
      </c>
      <c r="C126" s="9">
        <v>45304</v>
      </c>
      <c r="D126" s="6" t="s">
        <v>78</v>
      </c>
      <c r="E126" s="6" t="s">
        <v>54</v>
      </c>
      <c r="F126" s="7">
        <v>4781</v>
      </c>
      <c r="G126" s="7">
        <v>191</v>
      </c>
      <c r="H126" s="7">
        <v>122</v>
      </c>
      <c r="I126" s="7">
        <v>35535</v>
      </c>
      <c r="J126" s="11">
        <v>0.14335162515829464</v>
      </c>
      <c r="K126" s="7">
        <v>50777</v>
      </c>
      <c r="L126" s="7">
        <v>128</v>
      </c>
      <c r="M126" s="6" t="s">
        <v>9</v>
      </c>
      <c r="N126" s="6" t="s">
        <v>26</v>
      </c>
    </row>
    <row r="127" spans="1:14" x14ac:dyDescent="0.25">
      <c r="A127" s="6" t="s">
        <v>138</v>
      </c>
      <c r="B127" s="6" t="s">
        <v>12</v>
      </c>
      <c r="C127" s="9">
        <v>45304</v>
      </c>
      <c r="D127" s="6" t="s">
        <v>78</v>
      </c>
      <c r="E127" s="6" t="s">
        <v>54</v>
      </c>
      <c r="F127" s="7">
        <v>4781</v>
      </c>
      <c r="G127" s="7">
        <v>191</v>
      </c>
      <c r="H127" s="7">
        <v>122</v>
      </c>
      <c r="I127" s="7">
        <v>35535</v>
      </c>
      <c r="J127" s="11">
        <v>0.14335162515829464</v>
      </c>
      <c r="K127" s="7">
        <v>50777</v>
      </c>
      <c r="L127" s="7">
        <v>128</v>
      </c>
      <c r="M127" s="6" t="s">
        <v>9</v>
      </c>
      <c r="N127" s="6" t="s">
        <v>22</v>
      </c>
    </row>
    <row r="128" spans="1:14" x14ac:dyDescent="0.25">
      <c r="A128" s="6" t="s">
        <v>139</v>
      </c>
      <c r="B128" s="6" t="s">
        <v>11</v>
      </c>
      <c r="C128" s="9">
        <v>45825</v>
      </c>
      <c r="D128" s="6" t="s">
        <v>48</v>
      </c>
      <c r="E128" s="6" t="s">
        <v>58</v>
      </c>
      <c r="F128" s="7">
        <v>2284</v>
      </c>
      <c r="G128" s="7">
        <v>187</v>
      </c>
      <c r="H128" s="7">
        <v>260</v>
      </c>
      <c r="I128" s="7">
        <v>37400</v>
      </c>
      <c r="J128" s="11">
        <v>7.3021390374331557E-2</v>
      </c>
      <c r="K128" s="7">
        <v>65014</v>
      </c>
      <c r="L128" s="7">
        <v>157</v>
      </c>
      <c r="M128" s="6" t="s">
        <v>19</v>
      </c>
      <c r="N128" s="6" t="s">
        <v>22</v>
      </c>
    </row>
    <row r="129" spans="1:14" x14ac:dyDescent="0.25">
      <c r="A129" s="6" t="s">
        <v>139</v>
      </c>
      <c r="B129" s="6" t="s">
        <v>11</v>
      </c>
      <c r="C129" s="9">
        <v>45825</v>
      </c>
      <c r="D129" s="6" t="s">
        <v>48</v>
      </c>
      <c r="E129" s="6" t="s">
        <v>58</v>
      </c>
      <c r="F129" s="7">
        <v>2284</v>
      </c>
      <c r="G129" s="7">
        <v>187</v>
      </c>
      <c r="H129" s="7">
        <v>260</v>
      </c>
      <c r="I129" s="7">
        <v>37400</v>
      </c>
      <c r="J129" s="11">
        <v>7.3021390374331557E-2</v>
      </c>
      <c r="K129" s="7">
        <v>65014</v>
      </c>
      <c r="L129" s="7">
        <v>157</v>
      </c>
      <c r="M129" s="6" t="s">
        <v>19</v>
      </c>
      <c r="N129" s="6" t="s">
        <v>18</v>
      </c>
    </row>
    <row r="130" spans="1:14" x14ac:dyDescent="0.25">
      <c r="A130" s="6" t="s">
        <v>140</v>
      </c>
      <c r="B130" s="6" t="s">
        <v>17</v>
      </c>
      <c r="C130" s="9">
        <v>45723</v>
      </c>
      <c r="D130" s="6" t="s">
        <v>48</v>
      </c>
      <c r="E130" s="6" t="s">
        <v>62</v>
      </c>
      <c r="F130" s="7">
        <v>4234</v>
      </c>
      <c r="G130" s="7">
        <v>486</v>
      </c>
      <c r="H130" s="7">
        <v>276</v>
      </c>
      <c r="I130" s="7">
        <v>56623</v>
      </c>
      <c r="J130" s="11">
        <v>8.8232696960599044E-2</v>
      </c>
      <c r="K130" s="7">
        <v>41343</v>
      </c>
      <c r="L130" s="7">
        <v>184</v>
      </c>
      <c r="M130" s="6" t="s">
        <v>23</v>
      </c>
      <c r="N130" s="6" t="s">
        <v>22</v>
      </c>
    </row>
    <row r="131" spans="1:14" x14ac:dyDescent="0.25">
      <c r="A131" s="6" t="s">
        <v>141</v>
      </c>
      <c r="B131" s="6" t="s">
        <v>11</v>
      </c>
      <c r="C131" s="9">
        <v>45530</v>
      </c>
      <c r="D131" s="6" t="s">
        <v>48</v>
      </c>
      <c r="E131" s="6" t="s">
        <v>73</v>
      </c>
      <c r="F131" s="7">
        <v>2102</v>
      </c>
      <c r="G131" s="7">
        <v>181</v>
      </c>
      <c r="H131" s="7">
        <v>306</v>
      </c>
      <c r="I131" s="7">
        <v>43650</v>
      </c>
      <c r="J131" s="11">
        <v>5.9312714776632303E-2</v>
      </c>
      <c r="K131" s="7">
        <v>50079</v>
      </c>
      <c r="L131" s="7">
        <v>182</v>
      </c>
      <c r="M131" s="6" t="s">
        <v>23</v>
      </c>
      <c r="N131" s="6" t="s">
        <v>26</v>
      </c>
    </row>
    <row r="132" spans="1:14" x14ac:dyDescent="0.25">
      <c r="A132" s="6" t="s">
        <v>142</v>
      </c>
      <c r="B132" s="6" t="s">
        <v>17</v>
      </c>
      <c r="C132" s="9">
        <v>45660</v>
      </c>
      <c r="D132" s="6" t="s">
        <v>53</v>
      </c>
      <c r="E132" s="6" t="s">
        <v>62</v>
      </c>
      <c r="F132" s="7">
        <v>4845</v>
      </c>
      <c r="G132" s="7">
        <v>158</v>
      </c>
      <c r="H132" s="7">
        <v>84</v>
      </c>
      <c r="I132" s="7">
        <v>34578</v>
      </c>
      <c r="J132" s="11">
        <v>0.1471166637746544</v>
      </c>
      <c r="K132" s="7">
        <v>51480</v>
      </c>
      <c r="L132" s="7">
        <v>180</v>
      </c>
      <c r="M132" s="6" t="s">
        <v>19</v>
      </c>
      <c r="N132" s="6" t="s">
        <v>22</v>
      </c>
    </row>
    <row r="133" spans="1:14" x14ac:dyDescent="0.25">
      <c r="A133" s="6" t="s">
        <v>142</v>
      </c>
      <c r="B133" s="6" t="s">
        <v>17</v>
      </c>
      <c r="C133" s="9">
        <v>45660</v>
      </c>
      <c r="D133" s="6" t="s">
        <v>53</v>
      </c>
      <c r="E133" s="6" t="s">
        <v>62</v>
      </c>
      <c r="F133" s="7">
        <v>4845</v>
      </c>
      <c r="G133" s="7">
        <v>158</v>
      </c>
      <c r="H133" s="7">
        <v>84</v>
      </c>
      <c r="I133" s="7">
        <v>34578</v>
      </c>
      <c r="J133" s="11">
        <v>0.1471166637746544</v>
      </c>
      <c r="K133" s="7">
        <v>51480</v>
      </c>
      <c r="L133" s="7">
        <v>180</v>
      </c>
      <c r="M133" s="6" t="s">
        <v>19</v>
      </c>
      <c r="N133" s="6" t="s">
        <v>18</v>
      </c>
    </row>
    <row r="134" spans="1:14" x14ac:dyDescent="0.25">
      <c r="A134" s="6" t="s">
        <v>143</v>
      </c>
      <c r="B134" s="6" t="s">
        <v>17</v>
      </c>
      <c r="C134" s="9">
        <v>45507</v>
      </c>
      <c r="D134" s="6" t="s">
        <v>48</v>
      </c>
      <c r="E134" s="6" t="s">
        <v>73</v>
      </c>
      <c r="F134" s="7">
        <v>4247</v>
      </c>
      <c r="G134" s="7">
        <v>390</v>
      </c>
      <c r="H134" s="7">
        <v>213</v>
      </c>
      <c r="I134" s="7">
        <v>29785</v>
      </c>
      <c r="J134" s="11">
        <v>0.16283364109451065</v>
      </c>
      <c r="K134" s="7">
        <v>57768</v>
      </c>
      <c r="L134" s="7">
        <v>122</v>
      </c>
      <c r="M134" s="6" t="s">
        <v>19</v>
      </c>
      <c r="N134" s="6" t="s">
        <v>18</v>
      </c>
    </row>
    <row r="135" spans="1:14" x14ac:dyDescent="0.25">
      <c r="A135" s="6" t="s">
        <v>144</v>
      </c>
      <c r="B135" s="6" t="s">
        <v>11</v>
      </c>
      <c r="C135" s="9">
        <v>45522</v>
      </c>
      <c r="D135" s="6" t="s">
        <v>48</v>
      </c>
      <c r="E135" s="6" t="s">
        <v>51</v>
      </c>
      <c r="F135" s="7">
        <v>2965</v>
      </c>
      <c r="G135" s="7">
        <v>328</v>
      </c>
      <c r="H135" s="7">
        <v>171</v>
      </c>
      <c r="I135" s="7">
        <v>57685</v>
      </c>
      <c r="J135" s="11">
        <v>6.0050273034584378E-2</v>
      </c>
      <c r="K135" s="7">
        <v>67536</v>
      </c>
      <c r="L135" s="7">
        <v>264</v>
      </c>
      <c r="M135" s="6" t="s">
        <v>19</v>
      </c>
      <c r="N135" s="6" t="s">
        <v>22</v>
      </c>
    </row>
    <row r="136" spans="1:14" x14ac:dyDescent="0.25">
      <c r="A136" s="6" t="s">
        <v>144</v>
      </c>
      <c r="B136" s="6" t="s">
        <v>11</v>
      </c>
      <c r="C136" s="9">
        <v>45522</v>
      </c>
      <c r="D136" s="6" t="s">
        <v>48</v>
      </c>
      <c r="E136" s="6" t="s">
        <v>51</v>
      </c>
      <c r="F136" s="7">
        <v>2965</v>
      </c>
      <c r="G136" s="7">
        <v>328</v>
      </c>
      <c r="H136" s="7">
        <v>171</v>
      </c>
      <c r="I136" s="7">
        <v>57685</v>
      </c>
      <c r="J136" s="11">
        <v>6.0050273034584378E-2</v>
      </c>
      <c r="K136" s="7">
        <v>67536</v>
      </c>
      <c r="L136" s="7">
        <v>264</v>
      </c>
      <c r="M136" s="6" t="s">
        <v>19</v>
      </c>
      <c r="N136" s="6" t="s">
        <v>18</v>
      </c>
    </row>
    <row r="137" spans="1:14" x14ac:dyDescent="0.25">
      <c r="A137" s="6" t="s">
        <v>145</v>
      </c>
      <c r="B137" s="6" t="s">
        <v>17</v>
      </c>
      <c r="C137" s="9">
        <v>45791</v>
      </c>
      <c r="D137" s="6" t="s">
        <v>53</v>
      </c>
      <c r="E137" s="6" t="s">
        <v>56</v>
      </c>
      <c r="F137" s="7">
        <v>1371</v>
      </c>
      <c r="G137" s="7">
        <v>139</v>
      </c>
      <c r="H137" s="7">
        <v>96</v>
      </c>
      <c r="I137" s="7">
        <v>36140</v>
      </c>
      <c r="J137" s="11">
        <v>4.4438295517432211E-2</v>
      </c>
      <c r="K137" s="7">
        <v>39395</v>
      </c>
      <c r="L137" s="7">
        <v>169</v>
      </c>
      <c r="M137" s="6" t="s">
        <v>19</v>
      </c>
      <c r="N137" s="6" t="s">
        <v>22</v>
      </c>
    </row>
    <row r="138" spans="1:14" x14ac:dyDescent="0.25">
      <c r="A138" s="6" t="s">
        <v>145</v>
      </c>
      <c r="B138" s="6" t="s">
        <v>17</v>
      </c>
      <c r="C138" s="9">
        <v>45791</v>
      </c>
      <c r="D138" s="6" t="s">
        <v>53</v>
      </c>
      <c r="E138" s="6" t="s">
        <v>56</v>
      </c>
      <c r="F138" s="7">
        <v>1371</v>
      </c>
      <c r="G138" s="7">
        <v>139</v>
      </c>
      <c r="H138" s="7">
        <v>96</v>
      </c>
      <c r="I138" s="7">
        <v>36140</v>
      </c>
      <c r="J138" s="11">
        <v>4.4438295517432211E-2</v>
      </c>
      <c r="K138" s="7">
        <v>39395</v>
      </c>
      <c r="L138" s="7">
        <v>169</v>
      </c>
      <c r="M138" s="6" t="s">
        <v>19</v>
      </c>
      <c r="N138" s="6" t="s">
        <v>18</v>
      </c>
    </row>
    <row r="139" spans="1:14" x14ac:dyDescent="0.25">
      <c r="A139" s="6" t="s">
        <v>146</v>
      </c>
      <c r="B139" s="6" t="s">
        <v>17</v>
      </c>
      <c r="C139" s="9">
        <v>45405</v>
      </c>
      <c r="D139" s="6" t="s">
        <v>53</v>
      </c>
      <c r="E139" s="6" t="s">
        <v>49</v>
      </c>
      <c r="F139" s="7">
        <v>2683</v>
      </c>
      <c r="G139" s="7">
        <v>496</v>
      </c>
      <c r="H139" s="7">
        <v>89</v>
      </c>
      <c r="I139" s="7">
        <v>53435</v>
      </c>
      <c r="J139" s="11">
        <v>6.1158416768035934E-2</v>
      </c>
      <c r="K139" s="7">
        <v>30334</v>
      </c>
      <c r="L139" s="7">
        <v>160</v>
      </c>
      <c r="M139" s="6" t="s">
        <v>19</v>
      </c>
      <c r="N139" s="6" t="s">
        <v>22</v>
      </c>
    </row>
    <row r="140" spans="1:14" x14ac:dyDescent="0.25">
      <c r="A140" s="6" t="s">
        <v>146</v>
      </c>
      <c r="B140" s="6" t="s">
        <v>17</v>
      </c>
      <c r="C140" s="9">
        <v>45405</v>
      </c>
      <c r="D140" s="6" t="s">
        <v>53</v>
      </c>
      <c r="E140" s="6" t="s">
        <v>49</v>
      </c>
      <c r="F140" s="7">
        <v>2683</v>
      </c>
      <c r="G140" s="7">
        <v>496</v>
      </c>
      <c r="H140" s="7">
        <v>89</v>
      </c>
      <c r="I140" s="7">
        <v>53435</v>
      </c>
      <c r="J140" s="11">
        <v>6.1158416768035934E-2</v>
      </c>
      <c r="K140" s="7">
        <v>30334</v>
      </c>
      <c r="L140" s="7">
        <v>160</v>
      </c>
      <c r="M140" s="6" t="s">
        <v>19</v>
      </c>
      <c r="N140" s="6" t="s">
        <v>18</v>
      </c>
    </row>
    <row r="141" spans="1:14" x14ac:dyDescent="0.25">
      <c r="A141" s="6" t="s">
        <v>147</v>
      </c>
      <c r="B141" s="6" t="s">
        <v>17</v>
      </c>
      <c r="C141" s="9">
        <v>45705</v>
      </c>
      <c r="D141" s="6" t="s">
        <v>53</v>
      </c>
      <c r="E141" s="6" t="s">
        <v>60</v>
      </c>
      <c r="F141" s="7">
        <v>4796</v>
      </c>
      <c r="G141" s="7">
        <v>427</v>
      </c>
      <c r="H141" s="7">
        <v>339</v>
      </c>
      <c r="I141" s="7">
        <v>30752</v>
      </c>
      <c r="J141" s="11">
        <v>0.18086628511966701</v>
      </c>
      <c r="K141" s="7">
        <v>33870</v>
      </c>
      <c r="L141" s="7">
        <v>298</v>
      </c>
      <c r="M141" s="6" t="s">
        <v>19</v>
      </c>
      <c r="N141" s="6" t="s">
        <v>22</v>
      </c>
    </row>
    <row r="142" spans="1:14" x14ac:dyDescent="0.25">
      <c r="A142" s="6" t="s">
        <v>147</v>
      </c>
      <c r="B142" s="6" t="s">
        <v>17</v>
      </c>
      <c r="C142" s="9">
        <v>45705</v>
      </c>
      <c r="D142" s="6" t="s">
        <v>53</v>
      </c>
      <c r="E142" s="6" t="s">
        <v>60</v>
      </c>
      <c r="F142" s="7">
        <v>4796</v>
      </c>
      <c r="G142" s="7">
        <v>427</v>
      </c>
      <c r="H142" s="7">
        <v>339</v>
      </c>
      <c r="I142" s="7">
        <v>30752</v>
      </c>
      <c r="J142" s="11">
        <v>0.18086628511966701</v>
      </c>
      <c r="K142" s="7">
        <v>33870</v>
      </c>
      <c r="L142" s="7">
        <v>298</v>
      </c>
      <c r="M142" s="6" t="s">
        <v>19</v>
      </c>
      <c r="N142" s="6" t="s">
        <v>18</v>
      </c>
    </row>
    <row r="143" spans="1:14" x14ac:dyDescent="0.25">
      <c r="A143" s="6" t="s">
        <v>148</v>
      </c>
      <c r="B143" s="6" t="s">
        <v>11</v>
      </c>
      <c r="C143" s="9">
        <v>45630</v>
      </c>
      <c r="D143" s="6" t="s">
        <v>48</v>
      </c>
      <c r="E143" s="6" t="s">
        <v>56</v>
      </c>
      <c r="F143" s="7">
        <v>2601</v>
      </c>
      <c r="G143" s="7">
        <v>336</v>
      </c>
      <c r="H143" s="7">
        <v>260</v>
      </c>
      <c r="I143" s="7">
        <v>32368</v>
      </c>
      <c r="J143" s="11">
        <v>9.8770390509144837E-2</v>
      </c>
      <c r="K143" s="7">
        <v>49028</v>
      </c>
      <c r="L143" s="7">
        <v>120</v>
      </c>
      <c r="M143" s="6" t="s">
        <v>19</v>
      </c>
      <c r="N143" s="6" t="s">
        <v>22</v>
      </c>
    </row>
    <row r="144" spans="1:14" x14ac:dyDescent="0.25">
      <c r="A144" s="6" t="s">
        <v>148</v>
      </c>
      <c r="B144" s="6" t="s">
        <v>11</v>
      </c>
      <c r="C144" s="9">
        <v>45630</v>
      </c>
      <c r="D144" s="6" t="s">
        <v>48</v>
      </c>
      <c r="E144" s="6" t="s">
        <v>56</v>
      </c>
      <c r="F144" s="7">
        <v>2601</v>
      </c>
      <c r="G144" s="7">
        <v>336</v>
      </c>
      <c r="H144" s="7">
        <v>260</v>
      </c>
      <c r="I144" s="7">
        <v>32368</v>
      </c>
      <c r="J144" s="11">
        <v>9.8770390509144837E-2</v>
      </c>
      <c r="K144" s="7">
        <v>49028</v>
      </c>
      <c r="L144" s="7">
        <v>120</v>
      </c>
      <c r="M144" s="6" t="s">
        <v>19</v>
      </c>
      <c r="N144" s="6" t="s">
        <v>18</v>
      </c>
    </row>
    <row r="145" spans="1:14" x14ac:dyDescent="0.25">
      <c r="A145" s="6" t="s">
        <v>149</v>
      </c>
      <c r="B145" s="6" t="s">
        <v>17</v>
      </c>
      <c r="C145" s="9">
        <v>45495</v>
      </c>
      <c r="D145" s="6" t="s">
        <v>53</v>
      </c>
      <c r="E145" s="6" t="s">
        <v>56</v>
      </c>
      <c r="F145" s="7">
        <v>3336</v>
      </c>
      <c r="G145" s="7">
        <v>229</v>
      </c>
      <c r="H145" s="7">
        <v>337</v>
      </c>
      <c r="I145" s="7">
        <v>22117</v>
      </c>
      <c r="J145" s="11">
        <v>0.17642537414658407</v>
      </c>
      <c r="K145" s="7">
        <v>26205</v>
      </c>
      <c r="L145" s="7">
        <v>160</v>
      </c>
      <c r="M145" s="6" t="s">
        <v>19</v>
      </c>
      <c r="N145" s="6" t="s">
        <v>14</v>
      </c>
    </row>
    <row r="146" spans="1:14" x14ac:dyDescent="0.25">
      <c r="A146" s="6" t="s">
        <v>149</v>
      </c>
      <c r="B146" s="6" t="s">
        <v>17</v>
      </c>
      <c r="C146" s="9">
        <v>45495</v>
      </c>
      <c r="D146" s="6" t="s">
        <v>53</v>
      </c>
      <c r="E146" s="6" t="s">
        <v>56</v>
      </c>
      <c r="F146" s="7">
        <v>3336</v>
      </c>
      <c r="G146" s="7">
        <v>229</v>
      </c>
      <c r="H146" s="7">
        <v>337</v>
      </c>
      <c r="I146" s="7">
        <v>22117</v>
      </c>
      <c r="J146" s="11">
        <v>0.17642537414658407</v>
      </c>
      <c r="K146" s="7">
        <v>26205</v>
      </c>
      <c r="L146" s="7">
        <v>160</v>
      </c>
      <c r="M146" s="6" t="s">
        <v>19</v>
      </c>
      <c r="N146" s="6" t="s">
        <v>18</v>
      </c>
    </row>
    <row r="147" spans="1:14" x14ac:dyDescent="0.25">
      <c r="A147" s="6" t="s">
        <v>150</v>
      </c>
      <c r="B147" s="6" t="s">
        <v>17</v>
      </c>
      <c r="C147" s="9">
        <v>45774</v>
      </c>
      <c r="D147" s="6" t="s">
        <v>48</v>
      </c>
      <c r="E147" s="6" t="s">
        <v>51</v>
      </c>
      <c r="F147" s="7">
        <v>1165</v>
      </c>
      <c r="G147" s="7">
        <v>294</v>
      </c>
      <c r="H147" s="7">
        <v>163</v>
      </c>
      <c r="I147" s="7">
        <v>20659</v>
      </c>
      <c r="J147" s="11">
        <v>7.8512996756861422E-2</v>
      </c>
      <c r="K147" s="7">
        <v>45926</v>
      </c>
      <c r="L147" s="7">
        <v>111</v>
      </c>
      <c r="M147" s="6" t="s">
        <v>23</v>
      </c>
      <c r="N147" s="6" t="s">
        <v>22</v>
      </c>
    </row>
    <row r="148" spans="1:14" x14ac:dyDescent="0.25">
      <c r="A148" s="6" t="s">
        <v>151</v>
      </c>
      <c r="B148" s="6" t="s">
        <v>12</v>
      </c>
      <c r="C148" s="9">
        <v>45376</v>
      </c>
      <c r="D148" s="6" t="s">
        <v>78</v>
      </c>
      <c r="E148" s="6" t="s">
        <v>51</v>
      </c>
      <c r="F148" s="7">
        <v>1948</v>
      </c>
      <c r="G148" s="7">
        <v>155</v>
      </c>
      <c r="H148" s="7">
        <v>315</v>
      </c>
      <c r="I148" s="7">
        <v>30321</v>
      </c>
      <c r="J148" s="11">
        <v>7.974671020085089E-2</v>
      </c>
      <c r="K148" s="7">
        <v>57121</v>
      </c>
      <c r="L148" s="7">
        <v>82</v>
      </c>
      <c r="M148" s="6" t="s">
        <v>9</v>
      </c>
      <c r="N148" s="6" t="s">
        <v>26</v>
      </c>
    </row>
    <row r="149" spans="1:14" x14ac:dyDescent="0.25">
      <c r="A149" s="6" t="s">
        <v>151</v>
      </c>
      <c r="B149" s="6" t="s">
        <v>12</v>
      </c>
      <c r="C149" s="9">
        <v>45376</v>
      </c>
      <c r="D149" s="6" t="s">
        <v>78</v>
      </c>
      <c r="E149" s="6" t="s">
        <v>51</v>
      </c>
      <c r="F149" s="7">
        <v>1948</v>
      </c>
      <c r="G149" s="7">
        <v>155</v>
      </c>
      <c r="H149" s="7">
        <v>315</v>
      </c>
      <c r="I149" s="7">
        <v>30321</v>
      </c>
      <c r="J149" s="11">
        <v>7.974671020085089E-2</v>
      </c>
      <c r="K149" s="7">
        <v>57121</v>
      </c>
      <c r="L149" s="7">
        <v>82</v>
      </c>
      <c r="M149" s="6" t="s">
        <v>9</v>
      </c>
      <c r="N149" s="6" t="s">
        <v>22</v>
      </c>
    </row>
    <row r="150" spans="1:14" x14ac:dyDescent="0.25">
      <c r="A150" s="6" t="s">
        <v>152</v>
      </c>
      <c r="B150" s="6" t="s">
        <v>11</v>
      </c>
      <c r="C150" s="9">
        <v>45351</v>
      </c>
      <c r="D150" s="6" t="s">
        <v>48</v>
      </c>
      <c r="E150" s="6" t="s">
        <v>71</v>
      </c>
      <c r="F150" s="7">
        <v>1100</v>
      </c>
      <c r="G150" s="7">
        <v>229</v>
      </c>
      <c r="H150" s="7">
        <v>312</v>
      </c>
      <c r="I150" s="7">
        <v>25641</v>
      </c>
      <c r="J150" s="11">
        <v>6.3999063999063993E-2</v>
      </c>
      <c r="K150" s="7">
        <v>34601</v>
      </c>
      <c r="L150" s="7">
        <v>169</v>
      </c>
      <c r="M150" s="6" t="s">
        <v>23</v>
      </c>
      <c r="N150" s="6" t="s">
        <v>26</v>
      </c>
    </row>
    <row r="151" spans="1:14" x14ac:dyDescent="0.25">
      <c r="A151" s="6" t="s">
        <v>153</v>
      </c>
      <c r="B151" s="6" t="s">
        <v>17</v>
      </c>
      <c r="C151" s="9">
        <v>45609</v>
      </c>
      <c r="D151" s="6" t="s">
        <v>53</v>
      </c>
      <c r="E151" s="6" t="s">
        <v>65</v>
      </c>
      <c r="F151" s="7">
        <v>4628</v>
      </c>
      <c r="G151" s="7">
        <v>257</v>
      </c>
      <c r="H151" s="7">
        <v>397</v>
      </c>
      <c r="I151" s="7">
        <v>36686</v>
      </c>
      <c r="J151" s="11">
        <v>0.1439786294499264</v>
      </c>
      <c r="K151" s="7">
        <v>54683</v>
      </c>
      <c r="L151" s="7">
        <v>98</v>
      </c>
      <c r="M151" s="6" t="s">
        <v>19</v>
      </c>
      <c r="N151" s="6" t="s">
        <v>22</v>
      </c>
    </row>
    <row r="152" spans="1:14" x14ac:dyDescent="0.25">
      <c r="A152" s="6" t="s">
        <v>153</v>
      </c>
      <c r="B152" s="6" t="s">
        <v>17</v>
      </c>
      <c r="C152" s="9">
        <v>45609</v>
      </c>
      <c r="D152" s="6" t="s">
        <v>53</v>
      </c>
      <c r="E152" s="6" t="s">
        <v>65</v>
      </c>
      <c r="F152" s="7">
        <v>4628</v>
      </c>
      <c r="G152" s="7">
        <v>257</v>
      </c>
      <c r="H152" s="7">
        <v>397</v>
      </c>
      <c r="I152" s="7">
        <v>36686</v>
      </c>
      <c r="J152" s="11">
        <v>0.1439786294499264</v>
      </c>
      <c r="K152" s="7">
        <v>54683</v>
      </c>
      <c r="L152" s="7">
        <v>98</v>
      </c>
      <c r="M152" s="6" t="s">
        <v>19</v>
      </c>
      <c r="N152" s="6" t="s">
        <v>18</v>
      </c>
    </row>
    <row r="153" spans="1:14" x14ac:dyDescent="0.25">
      <c r="A153" s="6" t="s">
        <v>154</v>
      </c>
      <c r="B153" s="6" t="s">
        <v>11</v>
      </c>
      <c r="C153" s="9">
        <v>45373</v>
      </c>
      <c r="D153" s="6" t="s">
        <v>53</v>
      </c>
      <c r="E153" s="6" t="s">
        <v>49</v>
      </c>
      <c r="F153" s="7">
        <v>2319</v>
      </c>
      <c r="G153" s="7">
        <v>484</v>
      </c>
      <c r="H153" s="7">
        <v>193</v>
      </c>
      <c r="I153" s="7">
        <v>21202</v>
      </c>
      <c r="J153" s="11">
        <v>0.14130742382794076</v>
      </c>
      <c r="K153" s="7">
        <v>18091</v>
      </c>
      <c r="L153" s="7">
        <v>241</v>
      </c>
      <c r="M153" s="6" t="s">
        <v>15</v>
      </c>
      <c r="N153" s="6" t="s">
        <v>18</v>
      </c>
    </row>
    <row r="154" spans="1:14" x14ac:dyDescent="0.25">
      <c r="A154" s="6" t="s">
        <v>155</v>
      </c>
      <c r="B154" s="6" t="s">
        <v>17</v>
      </c>
      <c r="C154" s="9">
        <v>45367</v>
      </c>
      <c r="D154" s="6" t="s">
        <v>53</v>
      </c>
      <c r="E154" s="6" t="s">
        <v>56</v>
      </c>
      <c r="F154" s="7">
        <v>2895</v>
      </c>
      <c r="G154" s="7">
        <v>292</v>
      </c>
      <c r="H154" s="7">
        <v>90</v>
      </c>
      <c r="I154" s="7">
        <v>24223</v>
      </c>
      <c r="J154" s="11">
        <v>0.13528464682326713</v>
      </c>
      <c r="K154" s="7">
        <v>54626</v>
      </c>
      <c r="L154" s="7">
        <v>114</v>
      </c>
      <c r="M154" s="6" t="s">
        <v>19</v>
      </c>
      <c r="N154" s="6" t="s">
        <v>22</v>
      </c>
    </row>
    <row r="155" spans="1:14" x14ac:dyDescent="0.25">
      <c r="A155" s="6" t="s">
        <v>155</v>
      </c>
      <c r="B155" s="6" t="s">
        <v>17</v>
      </c>
      <c r="C155" s="9">
        <v>45367</v>
      </c>
      <c r="D155" s="6" t="s">
        <v>53</v>
      </c>
      <c r="E155" s="6" t="s">
        <v>56</v>
      </c>
      <c r="F155" s="7">
        <v>2895</v>
      </c>
      <c r="G155" s="7">
        <v>292</v>
      </c>
      <c r="H155" s="7">
        <v>90</v>
      </c>
      <c r="I155" s="7">
        <v>24223</v>
      </c>
      <c r="J155" s="11">
        <v>0.13528464682326713</v>
      </c>
      <c r="K155" s="7">
        <v>54626</v>
      </c>
      <c r="L155" s="7">
        <v>114</v>
      </c>
      <c r="M155" s="6" t="s">
        <v>19</v>
      </c>
      <c r="N155" s="6" t="s">
        <v>18</v>
      </c>
    </row>
    <row r="156" spans="1:14" x14ac:dyDescent="0.25">
      <c r="A156" s="6" t="s">
        <v>156</v>
      </c>
      <c r="B156" s="6" t="s">
        <v>11</v>
      </c>
      <c r="C156" s="9">
        <v>45317</v>
      </c>
      <c r="D156" s="6" t="s">
        <v>48</v>
      </c>
      <c r="E156" s="6" t="s">
        <v>60</v>
      </c>
      <c r="F156" s="7">
        <v>3878</v>
      </c>
      <c r="G156" s="7">
        <v>431</v>
      </c>
      <c r="H156" s="7">
        <v>97</v>
      </c>
      <c r="I156" s="7">
        <v>41763</v>
      </c>
      <c r="J156" s="11">
        <v>0.10550008380623997</v>
      </c>
      <c r="K156" s="7">
        <v>29729</v>
      </c>
      <c r="L156" s="7">
        <v>191</v>
      </c>
      <c r="M156" s="6" t="s">
        <v>23</v>
      </c>
      <c r="N156" s="6" t="s">
        <v>26</v>
      </c>
    </row>
    <row r="157" spans="1:14" x14ac:dyDescent="0.25">
      <c r="A157" s="6" t="s">
        <v>157</v>
      </c>
      <c r="B157" s="6" t="s">
        <v>17</v>
      </c>
      <c r="C157" s="9">
        <v>45366</v>
      </c>
      <c r="D157" s="6" t="s">
        <v>53</v>
      </c>
      <c r="E157" s="6" t="s">
        <v>62</v>
      </c>
      <c r="F157" s="7">
        <v>4969</v>
      </c>
      <c r="G157" s="7">
        <v>433</v>
      </c>
      <c r="H157" s="7">
        <v>237</v>
      </c>
      <c r="I157" s="7">
        <v>59552</v>
      </c>
      <c r="J157" s="11">
        <v>9.4690354648038683E-2</v>
      </c>
      <c r="K157" s="7">
        <v>23885</v>
      </c>
      <c r="L157" s="7">
        <v>157</v>
      </c>
      <c r="M157" s="6" t="s">
        <v>19</v>
      </c>
      <c r="N157" s="6" t="s">
        <v>26</v>
      </c>
    </row>
    <row r="158" spans="1:14" x14ac:dyDescent="0.25">
      <c r="A158" s="6" t="s">
        <v>157</v>
      </c>
      <c r="B158" s="6" t="s">
        <v>17</v>
      </c>
      <c r="C158" s="9">
        <v>45366</v>
      </c>
      <c r="D158" s="6" t="s">
        <v>53</v>
      </c>
      <c r="E158" s="6" t="s">
        <v>62</v>
      </c>
      <c r="F158" s="7">
        <v>4969</v>
      </c>
      <c r="G158" s="7">
        <v>433</v>
      </c>
      <c r="H158" s="7">
        <v>237</v>
      </c>
      <c r="I158" s="7">
        <v>59552</v>
      </c>
      <c r="J158" s="11">
        <v>9.4690354648038683E-2</v>
      </c>
      <c r="K158" s="7">
        <v>23885</v>
      </c>
      <c r="L158" s="7">
        <v>157</v>
      </c>
      <c r="M158" s="6" t="s">
        <v>19</v>
      </c>
      <c r="N158" s="6" t="s">
        <v>14</v>
      </c>
    </row>
    <row r="159" spans="1:14" x14ac:dyDescent="0.25">
      <c r="A159" s="6" t="s">
        <v>158</v>
      </c>
      <c r="B159" s="6" t="s">
        <v>17</v>
      </c>
      <c r="C159" s="9">
        <v>45580</v>
      </c>
      <c r="D159" s="6" t="s">
        <v>48</v>
      </c>
      <c r="E159" s="6" t="s">
        <v>56</v>
      </c>
      <c r="F159" s="7">
        <v>1984</v>
      </c>
      <c r="G159" s="7">
        <v>481</v>
      </c>
      <c r="H159" s="7">
        <v>356</v>
      </c>
      <c r="I159" s="7">
        <v>40681</v>
      </c>
      <c r="J159" s="11">
        <v>6.934441139598338E-2</v>
      </c>
      <c r="K159" s="7">
        <v>63111</v>
      </c>
      <c r="L159" s="7">
        <v>258</v>
      </c>
      <c r="M159" s="6" t="s">
        <v>19</v>
      </c>
      <c r="N159" s="6" t="s">
        <v>18</v>
      </c>
    </row>
    <row r="160" spans="1:14" x14ac:dyDescent="0.25">
      <c r="A160" s="6" t="s">
        <v>159</v>
      </c>
      <c r="B160" s="6" t="s">
        <v>11</v>
      </c>
      <c r="C160" s="9">
        <v>45494</v>
      </c>
      <c r="D160" s="6" t="s">
        <v>48</v>
      </c>
      <c r="E160" s="6" t="s">
        <v>49</v>
      </c>
      <c r="F160" s="7">
        <v>3004</v>
      </c>
      <c r="G160" s="7">
        <v>415</v>
      </c>
      <c r="H160" s="7">
        <v>218</v>
      </c>
      <c r="I160" s="7">
        <v>36090</v>
      </c>
      <c r="J160" s="11">
        <v>0.10077583818232197</v>
      </c>
      <c r="K160" s="7">
        <v>37073</v>
      </c>
      <c r="L160" s="7">
        <v>181</v>
      </c>
      <c r="M160" s="6" t="s">
        <v>23</v>
      </c>
      <c r="N160" s="6" t="s">
        <v>26</v>
      </c>
    </row>
    <row r="161" spans="1:14" x14ac:dyDescent="0.25">
      <c r="A161" s="6" t="s">
        <v>160</v>
      </c>
      <c r="B161" s="6" t="s">
        <v>17</v>
      </c>
      <c r="C161" s="9">
        <v>45577</v>
      </c>
      <c r="D161" s="6" t="s">
        <v>48</v>
      </c>
      <c r="E161" s="6" t="s">
        <v>62</v>
      </c>
      <c r="F161" s="7">
        <v>3169</v>
      </c>
      <c r="G161" s="7">
        <v>386</v>
      </c>
      <c r="H161" s="7">
        <v>175</v>
      </c>
      <c r="I161" s="7">
        <v>45012</v>
      </c>
      <c r="J161" s="11">
        <v>8.2866791077934779E-2</v>
      </c>
      <c r="K161" s="7">
        <v>38508</v>
      </c>
      <c r="L161" s="7">
        <v>218</v>
      </c>
      <c r="M161" s="6" t="s">
        <v>19</v>
      </c>
      <c r="N161" s="6" t="s">
        <v>18</v>
      </c>
    </row>
    <row r="162" spans="1:14" x14ac:dyDescent="0.25">
      <c r="A162" s="6" t="s">
        <v>161</v>
      </c>
      <c r="B162" s="6" t="s">
        <v>17</v>
      </c>
      <c r="C162" s="9">
        <v>45591</v>
      </c>
      <c r="D162" s="6" t="s">
        <v>48</v>
      </c>
      <c r="E162" s="6" t="s">
        <v>49</v>
      </c>
      <c r="F162" s="7">
        <v>3036</v>
      </c>
      <c r="G162" s="7">
        <v>293</v>
      </c>
      <c r="H162" s="7">
        <v>115</v>
      </c>
      <c r="I162" s="7">
        <v>23776</v>
      </c>
      <c r="J162" s="11">
        <v>0.14485195154777927</v>
      </c>
      <c r="K162" s="7">
        <v>46386</v>
      </c>
      <c r="L162" s="7">
        <v>282</v>
      </c>
      <c r="M162" s="6" t="s">
        <v>19</v>
      </c>
      <c r="N162" s="6" t="s">
        <v>18</v>
      </c>
    </row>
    <row r="163" spans="1:14" x14ac:dyDescent="0.25">
      <c r="A163" s="6" t="s">
        <v>162</v>
      </c>
      <c r="B163" s="6" t="s">
        <v>11</v>
      </c>
      <c r="C163" s="9">
        <v>45336</v>
      </c>
      <c r="D163" s="6" t="s">
        <v>48</v>
      </c>
      <c r="E163" s="6" t="s">
        <v>58</v>
      </c>
      <c r="F163" s="7">
        <v>1830</v>
      </c>
      <c r="G163" s="7">
        <v>112</v>
      </c>
      <c r="H163" s="7">
        <v>181</v>
      </c>
      <c r="I163" s="7">
        <v>31870</v>
      </c>
      <c r="J163" s="11">
        <v>6.6614370881706936E-2</v>
      </c>
      <c r="K163" s="7">
        <v>55742</v>
      </c>
      <c r="L163" s="7">
        <v>263</v>
      </c>
      <c r="M163" s="6" t="s">
        <v>19</v>
      </c>
      <c r="N163" s="6" t="s">
        <v>22</v>
      </c>
    </row>
    <row r="164" spans="1:14" x14ac:dyDescent="0.25">
      <c r="A164" s="6" t="s">
        <v>162</v>
      </c>
      <c r="B164" s="6" t="s">
        <v>11</v>
      </c>
      <c r="C164" s="9">
        <v>45336</v>
      </c>
      <c r="D164" s="6" t="s">
        <v>48</v>
      </c>
      <c r="E164" s="6" t="s">
        <v>58</v>
      </c>
      <c r="F164" s="7">
        <v>1830</v>
      </c>
      <c r="G164" s="7">
        <v>112</v>
      </c>
      <c r="H164" s="7">
        <v>181</v>
      </c>
      <c r="I164" s="7">
        <v>31870</v>
      </c>
      <c r="J164" s="11">
        <v>6.6614370881706936E-2</v>
      </c>
      <c r="K164" s="7">
        <v>55742</v>
      </c>
      <c r="L164" s="7">
        <v>263</v>
      </c>
      <c r="M164" s="6" t="s">
        <v>19</v>
      </c>
      <c r="N164" s="6" t="s">
        <v>18</v>
      </c>
    </row>
    <row r="165" spans="1:14" x14ac:dyDescent="0.25">
      <c r="A165" s="6" t="s">
        <v>163</v>
      </c>
      <c r="B165" s="6" t="s">
        <v>17</v>
      </c>
      <c r="C165" s="9">
        <v>45413</v>
      </c>
      <c r="D165" s="6" t="s">
        <v>53</v>
      </c>
      <c r="E165" s="6" t="s">
        <v>60</v>
      </c>
      <c r="F165" s="7">
        <v>2587</v>
      </c>
      <c r="G165" s="7">
        <v>447</v>
      </c>
      <c r="H165" s="7">
        <v>183</v>
      </c>
      <c r="I165" s="7">
        <v>36266</v>
      </c>
      <c r="J165" s="11">
        <v>8.8705674736667947E-2</v>
      </c>
      <c r="K165" s="7">
        <v>32877</v>
      </c>
      <c r="L165" s="7">
        <v>132</v>
      </c>
      <c r="M165" s="6" t="s">
        <v>19</v>
      </c>
      <c r="N165" s="6" t="s">
        <v>26</v>
      </c>
    </row>
    <row r="166" spans="1:14" x14ac:dyDescent="0.25">
      <c r="A166" s="6" t="s">
        <v>163</v>
      </c>
      <c r="B166" s="6" t="s">
        <v>17</v>
      </c>
      <c r="C166" s="9">
        <v>45413</v>
      </c>
      <c r="D166" s="6" t="s">
        <v>53</v>
      </c>
      <c r="E166" s="6" t="s">
        <v>60</v>
      </c>
      <c r="F166" s="7">
        <v>2587</v>
      </c>
      <c r="G166" s="7">
        <v>447</v>
      </c>
      <c r="H166" s="7">
        <v>183</v>
      </c>
      <c r="I166" s="7">
        <v>36266</v>
      </c>
      <c r="J166" s="11">
        <v>8.8705674736667947E-2</v>
      </c>
      <c r="K166" s="7">
        <v>32877</v>
      </c>
      <c r="L166" s="7">
        <v>132</v>
      </c>
      <c r="M166" s="6" t="s">
        <v>19</v>
      </c>
      <c r="N166" s="6" t="s">
        <v>14</v>
      </c>
    </row>
    <row r="167" spans="1:14" x14ac:dyDescent="0.25">
      <c r="A167" s="6" t="s">
        <v>164</v>
      </c>
      <c r="B167" s="6" t="s">
        <v>17</v>
      </c>
      <c r="C167" s="9">
        <v>45553</v>
      </c>
      <c r="D167" s="6" t="s">
        <v>48</v>
      </c>
      <c r="E167" s="6" t="s">
        <v>49</v>
      </c>
      <c r="F167" s="7">
        <v>2878</v>
      </c>
      <c r="G167" s="7">
        <v>265</v>
      </c>
      <c r="H167" s="7">
        <v>91</v>
      </c>
      <c r="I167" s="7">
        <v>52090</v>
      </c>
      <c r="J167" s="11">
        <v>6.2084853138798232E-2</v>
      </c>
      <c r="K167" s="7">
        <v>28924</v>
      </c>
      <c r="L167" s="7">
        <v>133</v>
      </c>
      <c r="M167" s="6" t="s">
        <v>19</v>
      </c>
      <c r="N167" s="6" t="s">
        <v>18</v>
      </c>
    </row>
    <row r="168" spans="1:14" x14ac:dyDescent="0.25">
      <c r="A168" s="6" t="s">
        <v>165</v>
      </c>
      <c r="B168" s="6" t="s">
        <v>17</v>
      </c>
      <c r="C168" s="9">
        <v>45677</v>
      </c>
      <c r="D168" s="6" t="s">
        <v>53</v>
      </c>
      <c r="E168" s="6" t="s">
        <v>54</v>
      </c>
      <c r="F168" s="7">
        <v>4619</v>
      </c>
      <c r="G168" s="7">
        <v>272</v>
      </c>
      <c r="H168" s="7">
        <v>57</v>
      </c>
      <c r="I168" s="7">
        <v>21334</v>
      </c>
      <c r="J168" s="11">
        <v>0.23193025217961938</v>
      </c>
      <c r="K168" s="7">
        <v>46292</v>
      </c>
      <c r="L168" s="7">
        <v>91</v>
      </c>
      <c r="M168" s="6" t="s">
        <v>19</v>
      </c>
      <c r="N168" s="6" t="s">
        <v>22</v>
      </c>
    </row>
    <row r="169" spans="1:14" x14ac:dyDescent="0.25">
      <c r="A169" s="6" t="s">
        <v>165</v>
      </c>
      <c r="B169" s="6" t="s">
        <v>17</v>
      </c>
      <c r="C169" s="9">
        <v>45677</v>
      </c>
      <c r="D169" s="6" t="s">
        <v>53</v>
      </c>
      <c r="E169" s="6" t="s">
        <v>54</v>
      </c>
      <c r="F169" s="7">
        <v>4619</v>
      </c>
      <c r="G169" s="7">
        <v>272</v>
      </c>
      <c r="H169" s="7">
        <v>57</v>
      </c>
      <c r="I169" s="7">
        <v>21334</v>
      </c>
      <c r="J169" s="11">
        <v>0.23193025217961938</v>
      </c>
      <c r="K169" s="7">
        <v>46292</v>
      </c>
      <c r="L169" s="7">
        <v>91</v>
      </c>
      <c r="M169" s="6" t="s">
        <v>19</v>
      </c>
      <c r="N169" s="6" t="s">
        <v>18</v>
      </c>
    </row>
    <row r="170" spans="1:14" x14ac:dyDescent="0.25">
      <c r="A170" s="6" t="s">
        <v>166</v>
      </c>
      <c r="B170" s="6" t="s">
        <v>17</v>
      </c>
      <c r="C170" s="9">
        <v>45670</v>
      </c>
      <c r="D170" s="6" t="s">
        <v>48</v>
      </c>
      <c r="E170" s="6" t="s">
        <v>58</v>
      </c>
      <c r="F170" s="7">
        <v>4090</v>
      </c>
      <c r="G170" s="7">
        <v>209</v>
      </c>
      <c r="H170" s="7">
        <v>278</v>
      </c>
      <c r="I170" s="7">
        <v>52853</v>
      </c>
      <c r="J170" s="11">
        <v>8.6598679355949518E-2</v>
      </c>
      <c r="K170" s="7">
        <v>57084</v>
      </c>
      <c r="L170" s="7">
        <v>102</v>
      </c>
      <c r="M170" s="6" t="s">
        <v>23</v>
      </c>
      <c r="N170" s="6" t="s">
        <v>22</v>
      </c>
    </row>
    <row r="171" spans="1:14" x14ac:dyDescent="0.25">
      <c r="A171" s="6" t="s">
        <v>167</v>
      </c>
      <c r="B171" s="6" t="s">
        <v>12</v>
      </c>
      <c r="C171" s="9">
        <v>45542</v>
      </c>
      <c r="D171" s="6" t="s">
        <v>78</v>
      </c>
      <c r="E171" s="6" t="s">
        <v>58</v>
      </c>
      <c r="F171" s="7">
        <v>3882</v>
      </c>
      <c r="G171" s="7">
        <v>342</v>
      </c>
      <c r="H171" s="7">
        <v>374</v>
      </c>
      <c r="I171" s="7">
        <v>41991</v>
      </c>
      <c r="J171" s="11">
        <v>0.10949965468790931</v>
      </c>
      <c r="K171" s="7">
        <v>48554</v>
      </c>
      <c r="L171" s="7">
        <v>118</v>
      </c>
      <c r="M171" s="6" t="s">
        <v>9</v>
      </c>
      <c r="N171" s="6" t="s">
        <v>26</v>
      </c>
    </row>
    <row r="172" spans="1:14" x14ac:dyDescent="0.25">
      <c r="A172" s="6" t="s">
        <v>167</v>
      </c>
      <c r="B172" s="6" t="s">
        <v>12</v>
      </c>
      <c r="C172" s="9">
        <v>45542</v>
      </c>
      <c r="D172" s="6" t="s">
        <v>78</v>
      </c>
      <c r="E172" s="6" t="s">
        <v>58</v>
      </c>
      <c r="F172" s="7">
        <v>3882</v>
      </c>
      <c r="G172" s="7">
        <v>342</v>
      </c>
      <c r="H172" s="7">
        <v>374</v>
      </c>
      <c r="I172" s="7">
        <v>41991</v>
      </c>
      <c r="J172" s="11">
        <v>0.10949965468790931</v>
      </c>
      <c r="K172" s="7">
        <v>48554</v>
      </c>
      <c r="L172" s="7">
        <v>118</v>
      </c>
      <c r="M172" s="6" t="s">
        <v>9</v>
      </c>
      <c r="N172" s="6" t="s">
        <v>22</v>
      </c>
    </row>
    <row r="173" spans="1:14" x14ac:dyDescent="0.25">
      <c r="A173" s="6" t="s">
        <v>168</v>
      </c>
      <c r="B173" s="6" t="s">
        <v>11</v>
      </c>
      <c r="C173" s="9">
        <v>45617</v>
      </c>
      <c r="D173" s="6" t="s">
        <v>48</v>
      </c>
      <c r="E173" s="6" t="s">
        <v>58</v>
      </c>
      <c r="F173" s="7">
        <v>4581</v>
      </c>
      <c r="G173" s="7">
        <v>181</v>
      </c>
      <c r="H173" s="7">
        <v>112</v>
      </c>
      <c r="I173" s="7">
        <v>35221</v>
      </c>
      <c r="J173" s="11">
        <v>0.13838335084182732</v>
      </c>
      <c r="K173" s="7">
        <v>28797</v>
      </c>
      <c r="L173" s="7">
        <v>164</v>
      </c>
      <c r="M173" s="6" t="s">
        <v>19</v>
      </c>
      <c r="N173" s="6" t="s">
        <v>22</v>
      </c>
    </row>
    <row r="174" spans="1:14" x14ac:dyDescent="0.25">
      <c r="A174" s="6" t="s">
        <v>168</v>
      </c>
      <c r="B174" s="6" t="s">
        <v>11</v>
      </c>
      <c r="C174" s="9">
        <v>45617</v>
      </c>
      <c r="D174" s="6" t="s">
        <v>48</v>
      </c>
      <c r="E174" s="6" t="s">
        <v>58</v>
      </c>
      <c r="F174" s="7">
        <v>4581</v>
      </c>
      <c r="G174" s="7">
        <v>181</v>
      </c>
      <c r="H174" s="7">
        <v>112</v>
      </c>
      <c r="I174" s="7">
        <v>35221</v>
      </c>
      <c r="J174" s="11">
        <v>0.13838335084182732</v>
      </c>
      <c r="K174" s="7">
        <v>28797</v>
      </c>
      <c r="L174" s="7">
        <v>164</v>
      </c>
      <c r="M174" s="6" t="s">
        <v>19</v>
      </c>
      <c r="N174" s="6" t="s">
        <v>18</v>
      </c>
    </row>
    <row r="175" spans="1:14" x14ac:dyDescent="0.25">
      <c r="A175" s="6" t="s">
        <v>169</v>
      </c>
      <c r="B175" s="6" t="s">
        <v>11</v>
      </c>
      <c r="C175" s="9">
        <v>45469</v>
      </c>
      <c r="D175" s="6" t="s">
        <v>48</v>
      </c>
      <c r="E175" s="6" t="s">
        <v>54</v>
      </c>
      <c r="F175" s="7">
        <v>3253</v>
      </c>
      <c r="G175" s="7">
        <v>483</v>
      </c>
      <c r="H175" s="7">
        <v>336</v>
      </c>
      <c r="I175" s="7">
        <v>25397</v>
      </c>
      <c r="J175" s="11">
        <v>0.16033389770445328</v>
      </c>
      <c r="K175" s="7">
        <v>51485</v>
      </c>
      <c r="L175" s="7">
        <v>131</v>
      </c>
      <c r="M175" s="6" t="s">
        <v>23</v>
      </c>
      <c r="N175" s="6" t="s">
        <v>26</v>
      </c>
    </row>
    <row r="176" spans="1:14" x14ac:dyDescent="0.25">
      <c r="A176" s="6" t="s">
        <v>170</v>
      </c>
      <c r="B176" s="6" t="s">
        <v>12</v>
      </c>
      <c r="C176" s="9">
        <v>45493</v>
      </c>
      <c r="D176" s="6" t="s">
        <v>78</v>
      </c>
      <c r="E176" s="6" t="s">
        <v>58</v>
      </c>
      <c r="F176" s="7">
        <v>4955</v>
      </c>
      <c r="G176" s="7">
        <v>299</v>
      </c>
      <c r="H176" s="7">
        <v>345</v>
      </c>
      <c r="I176" s="7">
        <v>33644</v>
      </c>
      <c r="J176" s="11">
        <v>0.16641897515158721</v>
      </c>
      <c r="K176" s="7">
        <v>43547</v>
      </c>
      <c r="L176" s="7">
        <v>194</v>
      </c>
      <c r="M176" s="6" t="s">
        <v>9</v>
      </c>
      <c r="N176" s="6" t="s">
        <v>26</v>
      </c>
    </row>
    <row r="177" spans="1:14" x14ac:dyDescent="0.25">
      <c r="A177" s="6" t="s">
        <v>170</v>
      </c>
      <c r="B177" s="6" t="s">
        <v>12</v>
      </c>
      <c r="C177" s="9">
        <v>45493</v>
      </c>
      <c r="D177" s="6" t="s">
        <v>78</v>
      </c>
      <c r="E177" s="6" t="s">
        <v>58</v>
      </c>
      <c r="F177" s="7">
        <v>4955</v>
      </c>
      <c r="G177" s="7">
        <v>299</v>
      </c>
      <c r="H177" s="7">
        <v>345</v>
      </c>
      <c r="I177" s="7">
        <v>33644</v>
      </c>
      <c r="J177" s="11">
        <v>0.16641897515158721</v>
      </c>
      <c r="K177" s="7">
        <v>43547</v>
      </c>
      <c r="L177" s="7">
        <v>194</v>
      </c>
      <c r="M177" s="6" t="s">
        <v>9</v>
      </c>
      <c r="N177" s="6" t="s">
        <v>22</v>
      </c>
    </row>
    <row r="178" spans="1:14" x14ac:dyDescent="0.25">
      <c r="A178" s="6" t="s">
        <v>171</v>
      </c>
      <c r="B178" s="6" t="s">
        <v>11</v>
      </c>
      <c r="C178" s="9">
        <v>45704</v>
      </c>
      <c r="D178" s="6" t="s">
        <v>48</v>
      </c>
      <c r="E178" s="6" t="s">
        <v>73</v>
      </c>
      <c r="F178" s="7">
        <v>1333</v>
      </c>
      <c r="G178" s="7">
        <v>286</v>
      </c>
      <c r="H178" s="7">
        <v>298</v>
      </c>
      <c r="I178" s="7">
        <v>36174</v>
      </c>
      <c r="J178" s="11">
        <v>5.2993862995521647E-2</v>
      </c>
      <c r="K178" s="7">
        <v>34517</v>
      </c>
      <c r="L178" s="7">
        <v>170</v>
      </c>
      <c r="M178" s="6" t="s">
        <v>19</v>
      </c>
      <c r="N178" s="6" t="s">
        <v>22</v>
      </c>
    </row>
    <row r="179" spans="1:14" x14ac:dyDescent="0.25">
      <c r="A179" s="6" t="s">
        <v>171</v>
      </c>
      <c r="B179" s="6" t="s">
        <v>11</v>
      </c>
      <c r="C179" s="9">
        <v>45704</v>
      </c>
      <c r="D179" s="6" t="s">
        <v>48</v>
      </c>
      <c r="E179" s="6" t="s">
        <v>73</v>
      </c>
      <c r="F179" s="7">
        <v>1333</v>
      </c>
      <c r="G179" s="7">
        <v>286</v>
      </c>
      <c r="H179" s="7">
        <v>298</v>
      </c>
      <c r="I179" s="7">
        <v>36174</v>
      </c>
      <c r="J179" s="11">
        <v>5.2993862995521647E-2</v>
      </c>
      <c r="K179" s="7">
        <v>34517</v>
      </c>
      <c r="L179" s="7">
        <v>170</v>
      </c>
      <c r="M179" s="6" t="s">
        <v>19</v>
      </c>
      <c r="N179" s="6" t="s">
        <v>18</v>
      </c>
    </row>
    <row r="180" spans="1:14" x14ac:dyDescent="0.25">
      <c r="A180" s="6" t="s">
        <v>172</v>
      </c>
      <c r="B180" s="6" t="s">
        <v>11</v>
      </c>
      <c r="C180" s="9">
        <v>45544</v>
      </c>
      <c r="D180" s="6" t="s">
        <v>48</v>
      </c>
      <c r="E180" s="6" t="s">
        <v>54</v>
      </c>
      <c r="F180" s="7">
        <v>1616</v>
      </c>
      <c r="G180" s="7">
        <v>360</v>
      </c>
      <c r="H180" s="7">
        <v>180</v>
      </c>
      <c r="I180" s="7">
        <v>54342</v>
      </c>
      <c r="J180" s="11">
        <v>3.9674653122814763E-2</v>
      </c>
      <c r="K180" s="7">
        <v>18796</v>
      </c>
      <c r="L180" s="7">
        <v>282</v>
      </c>
      <c r="M180" s="6" t="s">
        <v>19</v>
      </c>
      <c r="N180" s="6" t="s">
        <v>22</v>
      </c>
    </row>
    <row r="181" spans="1:14" x14ac:dyDescent="0.25">
      <c r="A181" s="6" t="s">
        <v>172</v>
      </c>
      <c r="B181" s="6" t="s">
        <v>11</v>
      </c>
      <c r="C181" s="9">
        <v>45544</v>
      </c>
      <c r="D181" s="6" t="s">
        <v>48</v>
      </c>
      <c r="E181" s="6" t="s">
        <v>54</v>
      </c>
      <c r="F181" s="7">
        <v>1616</v>
      </c>
      <c r="G181" s="7">
        <v>360</v>
      </c>
      <c r="H181" s="7">
        <v>180</v>
      </c>
      <c r="I181" s="7">
        <v>54342</v>
      </c>
      <c r="J181" s="11">
        <v>3.9674653122814763E-2</v>
      </c>
      <c r="K181" s="7">
        <v>18796</v>
      </c>
      <c r="L181" s="7">
        <v>282</v>
      </c>
      <c r="M181" s="6" t="s">
        <v>19</v>
      </c>
      <c r="N181" s="6" t="s">
        <v>18</v>
      </c>
    </row>
    <row r="182" spans="1:14" x14ac:dyDescent="0.25">
      <c r="A182" s="6" t="s">
        <v>173</v>
      </c>
      <c r="B182" s="6" t="s">
        <v>17</v>
      </c>
      <c r="C182" s="9">
        <v>45489</v>
      </c>
      <c r="D182" s="6" t="s">
        <v>48</v>
      </c>
      <c r="E182" s="6" t="s">
        <v>65</v>
      </c>
      <c r="F182" s="7">
        <v>1803</v>
      </c>
      <c r="G182" s="7">
        <v>273</v>
      </c>
      <c r="H182" s="7">
        <v>287</v>
      </c>
      <c r="I182" s="7">
        <v>46176</v>
      </c>
      <c r="J182" s="11">
        <v>5.1173769923769923E-2</v>
      </c>
      <c r="K182" s="7">
        <v>25488</v>
      </c>
      <c r="L182" s="7">
        <v>141</v>
      </c>
      <c r="M182" s="6" t="s">
        <v>19</v>
      </c>
      <c r="N182" s="6" t="s">
        <v>18</v>
      </c>
    </row>
    <row r="183" spans="1:14" x14ac:dyDescent="0.25">
      <c r="A183" s="6" t="s">
        <v>174</v>
      </c>
      <c r="B183" s="6" t="s">
        <v>11</v>
      </c>
      <c r="C183" s="9">
        <v>45762</v>
      </c>
      <c r="D183" s="6" t="s">
        <v>48</v>
      </c>
      <c r="E183" s="6" t="s">
        <v>51</v>
      </c>
      <c r="F183" s="7">
        <v>4177</v>
      </c>
      <c r="G183" s="7">
        <v>489</v>
      </c>
      <c r="H183" s="7">
        <v>331</v>
      </c>
      <c r="I183" s="7">
        <v>57451</v>
      </c>
      <c r="J183" s="11">
        <v>8.6978468608031198E-2</v>
      </c>
      <c r="K183" s="7">
        <v>73793</v>
      </c>
      <c r="L183" s="7">
        <v>251</v>
      </c>
      <c r="M183" s="6" t="s">
        <v>23</v>
      </c>
      <c r="N183" s="6" t="s">
        <v>26</v>
      </c>
    </row>
    <row r="184" spans="1:14" x14ac:dyDescent="0.25">
      <c r="A184" s="6" t="s">
        <v>175</v>
      </c>
      <c r="B184" s="6" t="s">
        <v>11</v>
      </c>
      <c r="C184" s="9">
        <v>45781</v>
      </c>
      <c r="D184" s="6" t="s">
        <v>53</v>
      </c>
      <c r="E184" s="6" t="s">
        <v>54</v>
      </c>
      <c r="F184" s="7">
        <v>1311</v>
      </c>
      <c r="G184" s="7">
        <v>181</v>
      </c>
      <c r="H184" s="7">
        <v>361</v>
      </c>
      <c r="I184" s="7">
        <v>37148</v>
      </c>
      <c r="J184" s="11">
        <v>4.9881554861634543E-2</v>
      </c>
      <c r="K184" s="7">
        <v>44875</v>
      </c>
      <c r="L184" s="7">
        <v>245</v>
      </c>
      <c r="M184" s="6" t="s">
        <v>15</v>
      </c>
      <c r="N184" s="6" t="s">
        <v>18</v>
      </c>
    </row>
    <row r="185" spans="1:14" x14ac:dyDescent="0.25">
      <c r="A185" s="6" t="s">
        <v>176</v>
      </c>
      <c r="B185" s="6" t="s">
        <v>11</v>
      </c>
      <c r="C185" s="9">
        <v>45340</v>
      </c>
      <c r="D185" s="6" t="s">
        <v>53</v>
      </c>
      <c r="E185" s="6" t="s">
        <v>71</v>
      </c>
      <c r="F185" s="7">
        <v>1516</v>
      </c>
      <c r="G185" s="7">
        <v>215</v>
      </c>
      <c r="H185" s="7">
        <v>332</v>
      </c>
      <c r="I185" s="7">
        <v>58981</v>
      </c>
      <c r="J185" s="11">
        <v>3.4977365592309385E-2</v>
      </c>
      <c r="K185" s="7">
        <v>36118</v>
      </c>
      <c r="L185" s="7">
        <v>211</v>
      </c>
      <c r="M185" s="6" t="s">
        <v>15</v>
      </c>
      <c r="N185" s="6" t="s">
        <v>18</v>
      </c>
    </row>
    <row r="186" spans="1:14" x14ac:dyDescent="0.25">
      <c r="A186" s="6" t="s">
        <v>177</v>
      </c>
      <c r="B186" s="6" t="s">
        <v>17</v>
      </c>
      <c r="C186" s="9">
        <v>45428</v>
      </c>
      <c r="D186" s="6" t="s">
        <v>53</v>
      </c>
      <c r="E186" s="6" t="s">
        <v>58</v>
      </c>
      <c r="F186" s="7">
        <v>2023</v>
      </c>
      <c r="G186" s="7">
        <v>124</v>
      </c>
      <c r="H186" s="7">
        <v>99</v>
      </c>
      <c r="I186" s="7">
        <v>54524</v>
      </c>
      <c r="J186" s="11">
        <v>4.1192869195216787E-2</v>
      </c>
      <c r="K186" s="7">
        <v>34790</v>
      </c>
      <c r="L186" s="7">
        <v>195</v>
      </c>
      <c r="M186" s="6" t="s">
        <v>19</v>
      </c>
      <c r="N186" s="6" t="s">
        <v>26</v>
      </c>
    </row>
    <row r="187" spans="1:14" x14ac:dyDescent="0.25">
      <c r="A187" s="6" t="s">
        <v>177</v>
      </c>
      <c r="B187" s="6" t="s">
        <v>17</v>
      </c>
      <c r="C187" s="9">
        <v>45428</v>
      </c>
      <c r="D187" s="6" t="s">
        <v>53</v>
      </c>
      <c r="E187" s="6" t="s">
        <v>58</v>
      </c>
      <c r="F187" s="7">
        <v>2023</v>
      </c>
      <c r="G187" s="7">
        <v>124</v>
      </c>
      <c r="H187" s="7">
        <v>99</v>
      </c>
      <c r="I187" s="7">
        <v>54524</v>
      </c>
      <c r="J187" s="11">
        <v>4.1192869195216787E-2</v>
      </c>
      <c r="K187" s="7">
        <v>34790</v>
      </c>
      <c r="L187" s="7">
        <v>195</v>
      </c>
      <c r="M187" s="6" t="s">
        <v>19</v>
      </c>
      <c r="N187" s="6" t="s">
        <v>14</v>
      </c>
    </row>
    <row r="188" spans="1:14" x14ac:dyDescent="0.25">
      <c r="A188" s="6" t="s">
        <v>178</v>
      </c>
      <c r="B188" s="6" t="s">
        <v>17</v>
      </c>
      <c r="C188" s="9">
        <v>45806</v>
      </c>
      <c r="D188" s="6" t="s">
        <v>53</v>
      </c>
      <c r="E188" s="6" t="s">
        <v>58</v>
      </c>
      <c r="F188" s="7">
        <v>2134</v>
      </c>
      <c r="G188" s="7">
        <v>322</v>
      </c>
      <c r="H188" s="7">
        <v>114</v>
      </c>
      <c r="I188" s="7">
        <v>44338</v>
      </c>
      <c r="J188" s="11">
        <v>5.7963823356939871E-2</v>
      </c>
      <c r="K188" s="7">
        <v>52165</v>
      </c>
      <c r="L188" s="7">
        <v>176</v>
      </c>
      <c r="M188" s="6" t="s">
        <v>19</v>
      </c>
      <c r="N188" s="6" t="s">
        <v>14</v>
      </c>
    </row>
    <row r="189" spans="1:14" x14ac:dyDescent="0.25">
      <c r="A189" s="6" t="s">
        <v>178</v>
      </c>
      <c r="B189" s="6" t="s">
        <v>17</v>
      </c>
      <c r="C189" s="9">
        <v>45806</v>
      </c>
      <c r="D189" s="6" t="s">
        <v>53</v>
      </c>
      <c r="E189" s="6" t="s">
        <v>58</v>
      </c>
      <c r="F189" s="7">
        <v>2134</v>
      </c>
      <c r="G189" s="7">
        <v>322</v>
      </c>
      <c r="H189" s="7">
        <v>114</v>
      </c>
      <c r="I189" s="7">
        <v>44338</v>
      </c>
      <c r="J189" s="11">
        <v>5.7963823356939871E-2</v>
      </c>
      <c r="K189" s="7">
        <v>52165</v>
      </c>
      <c r="L189" s="7">
        <v>176</v>
      </c>
      <c r="M189" s="6" t="s">
        <v>19</v>
      </c>
      <c r="N189" s="6" t="s">
        <v>18</v>
      </c>
    </row>
    <row r="190" spans="1:14" x14ac:dyDescent="0.25">
      <c r="A190" s="6" t="s">
        <v>179</v>
      </c>
      <c r="B190" s="6" t="s">
        <v>11</v>
      </c>
      <c r="C190" s="9">
        <v>45674</v>
      </c>
      <c r="D190" s="6" t="s">
        <v>48</v>
      </c>
      <c r="E190" s="6" t="s">
        <v>65</v>
      </c>
      <c r="F190" s="7">
        <v>2266</v>
      </c>
      <c r="G190" s="7">
        <v>126</v>
      </c>
      <c r="H190" s="7">
        <v>140</v>
      </c>
      <c r="I190" s="7">
        <v>53759</v>
      </c>
      <c r="J190" s="11">
        <v>4.7099090384865788E-2</v>
      </c>
      <c r="K190" s="7">
        <v>46834</v>
      </c>
      <c r="L190" s="7">
        <v>277</v>
      </c>
      <c r="M190" s="6" t="s">
        <v>23</v>
      </c>
      <c r="N190" s="6" t="s">
        <v>26</v>
      </c>
    </row>
    <row r="191" spans="1:14" x14ac:dyDescent="0.25">
      <c r="A191" s="6" t="s">
        <v>180</v>
      </c>
      <c r="B191" s="6" t="s">
        <v>11</v>
      </c>
      <c r="C191" s="9">
        <v>45777</v>
      </c>
      <c r="D191" s="6" t="s">
        <v>53</v>
      </c>
      <c r="E191" s="6" t="s">
        <v>54</v>
      </c>
      <c r="F191" s="7">
        <v>3916</v>
      </c>
      <c r="G191" s="7">
        <v>459</v>
      </c>
      <c r="H191" s="7">
        <v>229</v>
      </c>
      <c r="I191" s="7">
        <v>48989</v>
      </c>
      <c r="J191" s="11">
        <v>9.3980281287635997E-2</v>
      </c>
      <c r="K191" s="7">
        <v>39768</v>
      </c>
      <c r="L191" s="7">
        <v>200</v>
      </c>
      <c r="M191" s="6" t="s">
        <v>15</v>
      </c>
      <c r="N191" s="6" t="s">
        <v>18</v>
      </c>
    </row>
    <row r="192" spans="1:14" x14ac:dyDescent="0.25">
      <c r="A192" s="6" t="s">
        <v>181</v>
      </c>
      <c r="B192" s="6" t="s">
        <v>17</v>
      </c>
      <c r="C192" s="9">
        <v>45346</v>
      </c>
      <c r="D192" s="6" t="s">
        <v>53</v>
      </c>
      <c r="E192" s="6" t="s">
        <v>58</v>
      </c>
      <c r="F192" s="7">
        <v>1022</v>
      </c>
      <c r="G192" s="7">
        <v>463</v>
      </c>
      <c r="H192" s="7">
        <v>360</v>
      </c>
      <c r="I192" s="7">
        <v>51468</v>
      </c>
      <c r="J192" s="11">
        <v>3.5847516903707161E-2</v>
      </c>
      <c r="K192" s="7">
        <v>24279</v>
      </c>
      <c r="L192" s="7">
        <v>230</v>
      </c>
      <c r="M192" s="6" t="s">
        <v>19</v>
      </c>
      <c r="N192" s="6" t="s">
        <v>26</v>
      </c>
    </row>
    <row r="193" spans="1:14" x14ac:dyDescent="0.25">
      <c r="A193" s="6" t="s">
        <v>181</v>
      </c>
      <c r="B193" s="6" t="s">
        <v>17</v>
      </c>
      <c r="C193" s="9">
        <v>45346</v>
      </c>
      <c r="D193" s="6" t="s">
        <v>53</v>
      </c>
      <c r="E193" s="6" t="s">
        <v>58</v>
      </c>
      <c r="F193" s="7">
        <v>1022</v>
      </c>
      <c r="G193" s="7">
        <v>463</v>
      </c>
      <c r="H193" s="7">
        <v>360</v>
      </c>
      <c r="I193" s="7">
        <v>51468</v>
      </c>
      <c r="J193" s="11">
        <v>3.5847516903707161E-2</v>
      </c>
      <c r="K193" s="7">
        <v>24279</v>
      </c>
      <c r="L193" s="7">
        <v>230</v>
      </c>
      <c r="M193" s="6" t="s">
        <v>19</v>
      </c>
      <c r="N193" s="6" t="s">
        <v>14</v>
      </c>
    </row>
    <row r="194" spans="1:14" x14ac:dyDescent="0.25">
      <c r="A194" s="6" t="s">
        <v>182</v>
      </c>
      <c r="B194" s="6" t="s">
        <v>12</v>
      </c>
      <c r="C194" s="9">
        <v>45424</v>
      </c>
      <c r="D194" s="6" t="s">
        <v>48</v>
      </c>
      <c r="E194" s="6" t="s">
        <v>71</v>
      </c>
      <c r="F194" s="7">
        <v>2911</v>
      </c>
      <c r="G194" s="7">
        <v>467</v>
      </c>
      <c r="H194" s="7">
        <v>94</v>
      </c>
      <c r="I194" s="7">
        <v>59083</v>
      </c>
      <c r="J194" s="11">
        <v>5.8764788517847777E-2</v>
      </c>
      <c r="K194" s="7">
        <v>49762</v>
      </c>
      <c r="L194" s="7">
        <v>236</v>
      </c>
      <c r="M194" s="6" t="s">
        <v>23</v>
      </c>
      <c r="N194" s="6" t="s">
        <v>26</v>
      </c>
    </row>
    <row r="195" spans="1:14" x14ac:dyDescent="0.25">
      <c r="A195" s="6" t="s">
        <v>182</v>
      </c>
      <c r="B195" s="6" t="s">
        <v>12</v>
      </c>
      <c r="C195" s="9">
        <v>45424</v>
      </c>
      <c r="D195" s="6" t="s">
        <v>48</v>
      </c>
      <c r="E195" s="6" t="s">
        <v>71</v>
      </c>
      <c r="F195" s="7">
        <v>2911</v>
      </c>
      <c r="G195" s="7">
        <v>467</v>
      </c>
      <c r="H195" s="7">
        <v>94</v>
      </c>
      <c r="I195" s="7">
        <v>59083</v>
      </c>
      <c r="J195" s="11">
        <v>5.8764788517847777E-2</v>
      </c>
      <c r="K195" s="7">
        <v>49762</v>
      </c>
      <c r="L195" s="7">
        <v>236</v>
      </c>
      <c r="M195" s="6" t="s">
        <v>23</v>
      </c>
      <c r="N195" s="6" t="s">
        <v>13</v>
      </c>
    </row>
    <row r="196" spans="1:14" x14ac:dyDescent="0.25">
      <c r="A196" s="6" t="s">
        <v>183</v>
      </c>
      <c r="B196" s="6" t="s">
        <v>17</v>
      </c>
      <c r="C196" s="9">
        <v>45421</v>
      </c>
      <c r="D196" s="6" t="s">
        <v>53</v>
      </c>
      <c r="E196" s="6" t="s">
        <v>54</v>
      </c>
      <c r="F196" s="7">
        <v>3277</v>
      </c>
      <c r="G196" s="7">
        <v>423</v>
      </c>
      <c r="H196" s="7">
        <v>259</v>
      </c>
      <c r="I196" s="7">
        <v>46328</v>
      </c>
      <c r="J196" s="11">
        <v>8.5455879813503707E-2</v>
      </c>
      <c r="K196" s="7">
        <v>44293</v>
      </c>
      <c r="L196" s="7">
        <v>299</v>
      </c>
      <c r="M196" s="6" t="s">
        <v>19</v>
      </c>
      <c r="N196" s="6" t="s">
        <v>22</v>
      </c>
    </row>
    <row r="197" spans="1:14" x14ac:dyDescent="0.25">
      <c r="A197" s="6" t="s">
        <v>183</v>
      </c>
      <c r="B197" s="6" t="s">
        <v>17</v>
      </c>
      <c r="C197" s="9">
        <v>45421</v>
      </c>
      <c r="D197" s="6" t="s">
        <v>53</v>
      </c>
      <c r="E197" s="6" t="s">
        <v>54</v>
      </c>
      <c r="F197" s="7">
        <v>3277</v>
      </c>
      <c r="G197" s="7">
        <v>423</v>
      </c>
      <c r="H197" s="7">
        <v>259</v>
      </c>
      <c r="I197" s="7">
        <v>46328</v>
      </c>
      <c r="J197" s="11">
        <v>8.5455879813503707E-2</v>
      </c>
      <c r="K197" s="7">
        <v>44293</v>
      </c>
      <c r="L197" s="7">
        <v>299</v>
      </c>
      <c r="M197" s="6" t="s">
        <v>19</v>
      </c>
      <c r="N197" s="6" t="s">
        <v>18</v>
      </c>
    </row>
    <row r="198" spans="1:14" x14ac:dyDescent="0.25">
      <c r="A198" s="6" t="s">
        <v>184</v>
      </c>
      <c r="B198" s="6" t="s">
        <v>17</v>
      </c>
      <c r="C198" s="9">
        <v>45602</v>
      </c>
      <c r="D198" s="6" t="s">
        <v>48</v>
      </c>
      <c r="E198" s="6" t="s">
        <v>71</v>
      </c>
      <c r="F198" s="7">
        <v>2956</v>
      </c>
      <c r="G198" s="7">
        <v>381</v>
      </c>
      <c r="H198" s="7">
        <v>345</v>
      </c>
      <c r="I198" s="7">
        <v>33347</v>
      </c>
      <c r="J198" s="11">
        <v>0.11041472996071611</v>
      </c>
      <c r="K198" s="7">
        <v>22558</v>
      </c>
      <c r="L198" s="7">
        <v>173</v>
      </c>
      <c r="M198" s="6" t="s">
        <v>19</v>
      </c>
      <c r="N198" s="6" t="s">
        <v>18</v>
      </c>
    </row>
    <row r="199" spans="1:14" x14ac:dyDescent="0.25">
      <c r="A199" s="6" t="s">
        <v>185</v>
      </c>
      <c r="B199" s="6" t="s">
        <v>17</v>
      </c>
      <c r="C199" s="9">
        <v>45295</v>
      </c>
      <c r="D199" s="6" t="s">
        <v>53</v>
      </c>
      <c r="E199" s="6" t="s">
        <v>60</v>
      </c>
      <c r="F199" s="7">
        <v>3208</v>
      </c>
      <c r="G199" s="7">
        <v>476</v>
      </c>
      <c r="H199" s="7">
        <v>277</v>
      </c>
      <c r="I199" s="7">
        <v>56072</v>
      </c>
      <c r="J199" s="11">
        <v>7.064131830503638E-2</v>
      </c>
      <c r="K199" s="7">
        <v>21061</v>
      </c>
      <c r="L199" s="7">
        <v>113</v>
      </c>
      <c r="M199" s="6" t="s">
        <v>19</v>
      </c>
      <c r="N199" s="6" t="s">
        <v>14</v>
      </c>
    </row>
    <row r="200" spans="1:14" x14ac:dyDescent="0.25">
      <c r="A200" s="6" t="s">
        <v>185</v>
      </c>
      <c r="B200" s="6" t="s">
        <v>17</v>
      </c>
      <c r="C200" s="9">
        <v>45295</v>
      </c>
      <c r="D200" s="6" t="s">
        <v>53</v>
      </c>
      <c r="E200" s="6" t="s">
        <v>60</v>
      </c>
      <c r="F200" s="7">
        <v>3208</v>
      </c>
      <c r="G200" s="7">
        <v>476</v>
      </c>
      <c r="H200" s="7">
        <v>277</v>
      </c>
      <c r="I200" s="7">
        <v>56072</v>
      </c>
      <c r="J200" s="11">
        <v>7.064131830503638E-2</v>
      </c>
      <c r="K200" s="7">
        <v>21061</v>
      </c>
      <c r="L200" s="7">
        <v>113</v>
      </c>
      <c r="M200" s="6" t="s">
        <v>19</v>
      </c>
      <c r="N200" s="6" t="s">
        <v>18</v>
      </c>
    </row>
    <row r="201" spans="1:14" x14ac:dyDescent="0.25">
      <c r="A201" s="6" t="s">
        <v>186</v>
      </c>
      <c r="B201" s="6" t="s">
        <v>17</v>
      </c>
      <c r="C201" s="9">
        <v>45319</v>
      </c>
      <c r="D201" s="6" t="s">
        <v>48</v>
      </c>
      <c r="E201" s="6" t="s">
        <v>58</v>
      </c>
      <c r="F201" s="7">
        <v>1456</v>
      </c>
      <c r="G201" s="7">
        <v>265</v>
      </c>
      <c r="H201" s="7">
        <v>137</v>
      </c>
      <c r="I201" s="7">
        <v>53485</v>
      </c>
      <c r="J201" s="11">
        <v>3.4738711788351875E-2</v>
      </c>
      <c r="K201" s="7">
        <v>59729</v>
      </c>
      <c r="L201" s="7">
        <v>145</v>
      </c>
      <c r="M201" s="6" t="s">
        <v>23</v>
      </c>
      <c r="N201" s="6" t="s">
        <v>22</v>
      </c>
    </row>
    <row r="202" spans="1:14" x14ac:dyDescent="0.25">
      <c r="A202" s="6" t="s">
        <v>187</v>
      </c>
      <c r="B202" s="6" t="s">
        <v>11</v>
      </c>
      <c r="C202" s="9">
        <v>45344</v>
      </c>
      <c r="D202" s="6" t="s">
        <v>48</v>
      </c>
      <c r="E202" s="6" t="s">
        <v>54</v>
      </c>
      <c r="F202" s="7">
        <v>1902</v>
      </c>
      <c r="G202" s="7">
        <v>394</v>
      </c>
      <c r="H202" s="7">
        <v>279</v>
      </c>
      <c r="I202" s="7">
        <v>24615</v>
      </c>
      <c r="J202" s="11">
        <v>0.10461100954702417</v>
      </c>
      <c r="K202" s="7">
        <v>51330</v>
      </c>
      <c r="L202" s="7">
        <v>176</v>
      </c>
      <c r="M202" s="6" t="s">
        <v>19</v>
      </c>
      <c r="N202" s="6" t="s">
        <v>22</v>
      </c>
    </row>
    <row r="203" spans="1:14" x14ac:dyDescent="0.25">
      <c r="A203" s="6" t="s">
        <v>187</v>
      </c>
      <c r="B203" s="6" t="s">
        <v>11</v>
      </c>
      <c r="C203" s="9">
        <v>45344</v>
      </c>
      <c r="D203" s="6" t="s">
        <v>48</v>
      </c>
      <c r="E203" s="6" t="s">
        <v>54</v>
      </c>
      <c r="F203" s="7">
        <v>1902</v>
      </c>
      <c r="G203" s="7">
        <v>394</v>
      </c>
      <c r="H203" s="7">
        <v>279</v>
      </c>
      <c r="I203" s="7">
        <v>24615</v>
      </c>
      <c r="J203" s="11">
        <v>0.10461100954702417</v>
      </c>
      <c r="K203" s="7">
        <v>51330</v>
      </c>
      <c r="L203" s="7">
        <v>176</v>
      </c>
      <c r="M203" s="6" t="s">
        <v>19</v>
      </c>
      <c r="N203" s="6" t="s">
        <v>18</v>
      </c>
    </row>
    <row r="204" spans="1:14" x14ac:dyDescent="0.25">
      <c r="A204" s="6" t="s">
        <v>188</v>
      </c>
      <c r="B204" s="6" t="s">
        <v>17</v>
      </c>
      <c r="C204" s="9">
        <v>45839</v>
      </c>
      <c r="D204" s="6" t="s">
        <v>53</v>
      </c>
      <c r="E204" s="6" t="s">
        <v>51</v>
      </c>
      <c r="F204" s="7">
        <v>3219</v>
      </c>
      <c r="G204" s="7">
        <v>424</v>
      </c>
      <c r="H204" s="7">
        <v>267</v>
      </c>
      <c r="I204" s="7">
        <v>48879</v>
      </c>
      <c r="J204" s="11">
        <v>7.9993453221219743E-2</v>
      </c>
      <c r="K204" s="7">
        <v>37691</v>
      </c>
      <c r="L204" s="7">
        <v>224</v>
      </c>
      <c r="M204" s="6" t="s">
        <v>19</v>
      </c>
      <c r="N204" s="6" t="s">
        <v>26</v>
      </c>
    </row>
    <row r="205" spans="1:14" x14ac:dyDescent="0.25">
      <c r="A205" s="6" t="s">
        <v>188</v>
      </c>
      <c r="B205" s="6" t="s">
        <v>17</v>
      </c>
      <c r="C205" s="9">
        <v>45839</v>
      </c>
      <c r="D205" s="6" t="s">
        <v>53</v>
      </c>
      <c r="E205" s="6" t="s">
        <v>51</v>
      </c>
      <c r="F205" s="7">
        <v>3219</v>
      </c>
      <c r="G205" s="7">
        <v>424</v>
      </c>
      <c r="H205" s="7">
        <v>267</v>
      </c>
      <c r="I205" s="7">
        <v>48879</v>
      </c>
      <c r="J205" s="11">
        <v>7.9993453221219743E-2</v>
      </c>
      <c r="K205" s="7">
        <v>37691</v>
      </c>
      <c r="L205" s="7">
        <v>224</v>
      </c>
      <c r="M205" s="6" t="s">
        <v>19</v>
      </c>
      <c r="N205" s="6" t="s">
        <v>14</v>
      </c>
    </row>
    <row r="206" spans="1:14" x14ac:dyDescent="0.25">
      <c r="A206" s="6" t="s">
        <v>189</v>
      </c>
      <c r="B206" s="6" t="s">
        <v>12</v>
      </c>
      <c r="C206" s="9">
        <v>45301</v>
      </c>
      <c r="D206" s="6" t="s">
        <v>48</v>
      </c>
      <c r="E206" s="6" t="s">
        <v>51</v>
      </c>
      <c r="F206" s="7">
        <v>1261</v>
      </c>
      <c r="G206" s="7">
        <v>190</v>
      </c>
      <c r="H206" s="7">
        <v>233</v>
      </c>
      <c r="I206" s="7">
        <v>59888</v>
      </c>
      <c r="J206" s="11">
        <v>2.811915575741384E-2</v>
      </c>
      <c r="K206" s="7">
        <v>51449</v>
      </c>
      <c r="L206" s="7">
        <v>205</v>
      </c>
      <c r="M206" s="6" t="s">
        <v>23</v>
      </c>
      <c r="N206" s="6" t="s">
        <v>26</v>
      </c>
    </row>
    <row r="207" spans="1:14" x14ac:dyDescent="0.25">
      <c r="A207" s="6" t="s">
        <v>189</v>
      </c>
      <c r="B207" s="6" t="s">
        <v>12</v>
      </c>
      <c r="C207" s="9">
        <v>45301</v>
      </c>
      <c r="D207" s="6" t="s">
        <v>48</v>
      </c>
      <c r="E207" s="6" t="s">
        <v>51</v>
      </c>
      <c r="F207" s="7">
        <v>1261</v>
      </c>
      <c r="G207" s="7">
        <v>190</v>
      </c>
      <c r="H207" s="7">
        <v>233</v>
      </c>
      <c r="I207" s="7">
        <v>59888</v>
      </c>
      <c r="J207" s="11">
        <v>2.811915575741384E-2</v>
      </c>
      <c r="K207" s="7">
        <v>51449</v>
      </c>
      <c r="L207" s="7">
        <v>205</v>
      </c>
      <c r="M207" s="6" t="s">
        <v>23</v>
      </c>
      <c r="N207" s="6" t="s">
        <v>13</v>
      </c>
    </row>
    <row r="208" spans="1:14" x14ac:dyDescent="0.25">
      <c r="A208" s="6" t="s">
        <v>190</v>
      </c>
      <c r="B208" s="6" t="s">
        <v>17</v>
      </c>
      <c r="C208" s="9">
        <v>45736</v>
      </c>
      <c r="D208" s="6" t="s">
        <v>48</v>
      </c>
      <c r="E208" s="6" t="s">
        <v>73</v>
      </c>
      <c r="F208" s="7">
        <v>1564</v>
      </c>
      <c r="G208" s="7">
        <v>362</v>
      </c>
      <c r="H208" s="7">
        <v>371</v>
      </c>
      <c r="I208" s="7">
        <v>42075</v>
      </c>
      <c r="J208" s="11">
        <v>5.4592988710635768E-2</v>
      </c>
      <c r="K208" s="7">
        <v>66659</v>
      </c>
      <c r="L208" s="7">
        <v>205</v>
      </c>
      <c r="M208" s="6" t="s">
        <v>23</v>
      </c>
      <c r="N208" s="6" t="s">
        <v>22</v>
      </c>
    </row>
    <row r="209" spans="1:14" x14ac:dyDescent="0.25">
      <c r="A209" s="6" t="s">
        <v>191</v>
      </c>
      <c r="B209" s="6" t="s">
        <v>17</v>
      </c>
      <c r="C209" s="9">
        <v>45563</v>
      </c>
      <c r="D209" s="6" t="s">
        <v>48</v>
      </c>
      <c r="E209" s="6" t="s">
        <v>60</v>
      </c>
      <c r="F209" s="7">
        <v>4006</v>
      </c>
      <c r="G209" s="7">
        <v>420</v>
      </c>
      <c r="H209" s="7">
        <v>194</v>
      </c>
      <c r="I209" s="7">
        <v>49964</v>
      </c>
      <c r="J209" s="11">
        <v>9.2466575934672959E-2</v>
      </c>
      <c r="K209" s="7">
        <v>20685</v>
      </c>
      <c r="L209" s="7">
        <v>148</v>
      </c>
      <c r="M209" s="6" t="s">
        <v>19</v>
      </c>
      <c r="N209" s="6" t="s">
        <v>18</v>
      </c>
    </row>
    <row r="210" spans="1:14" x14ac:dyDescent="0.25">
      <c r="A210" s="6" t="s">
        <v>192</v>
      </c>
      <c r="B210" s="6" t="s">
        <v>12</v>
      </c>
      <c r="C210" s="9">
        <v>45318</v>
      </c>
      <c r="D210" s="6" t="s">
        <v>48</v>
      </c>
      <c r="E210" s="6" t="s">
        <v>73</v>
      </c>
      <c r="F210" s="7">
        <v>1976</v>
      </c>
      <c r="G210" s="7">
        <v>262</v>
      </c>
      <c r="H210" s="7">
        <v>218</v>
      </c>
      <c r="I210" s="7">
        <v>51696</v>
      </c>
      <c r="J210" s="11">
        <v>4.7508511296812134E-2</v>
      </c>
      <c r="K210" s="7">
        <v>44846</v>
      </c>
      <c r="L210" s="7">
        <v>139</v>
      </c>
      <c r="M210" s="6" t="s">
        <v>23</v>
      </c>
      <c r="N210" s="6" t="s">
        <v>26</v>
      </c>
    </row>
    <row r="211" spans="1:14" x14ac:dyDescent="0.25">
      <c r="A211" s="6" t="s">
        <v>192</v>
      </c>
      <c r="B211" s="6" t="s">
        <v>12</v>
      </c>
      <c r="C211" s="9">
        <v>45318</v>
      </c>
      <c r="D211" s="6" t="s">
        <v>48</v>
      </c>
      <c r="E211" s="6" t="s">
        <v>73</v>
      </c>
      <c r="F211" s="7">
        <v>1976</v>
      </c>
      <c r="G211" s="7">
        <v>262</v>
      </c>
      <c r="H211" s="7">
        <v>218</v>
      </c>
      <c r="I211" s="7">
        <v>51696</v>
      </c>
      <c r="J211" s="11">
        <v>4.7508511296812134E-2</v>
      </c>
      <c r="K211" s="7">
        <v>44846</v>
      </c>
      <c r="L211" s="7">
        <v>139</v>
      </c>
      <c r="M211" s="6" t="s">
        <v>23</v>
      </c>
      <c r="N211" s="6" t="s">
        <v>13</v>
      </c>
    </row>
    <row r="212" spans="1:14" x14ac:dyDescent="0.25">
      <c r="A212" s="6" t="s">
        <v>193</v>
      </c>
      <c r="B212" s="6" t="s">
        <v>17</v>
      </c>
      <c r="C212" s="9">
        <v>45792</v>
      </c>
      <c r="D212" s="6" t="s">
        <v>48</v>
      </c>
      <c r="E212" s="6" t="s">
        <v>54</v>
      </c>
      <c r="F212" s="7">
        <v>1583</v>
      </c>
      <c r="G212" s="7">
        <v>433</v>
      </c>
      <c r="H212" s="7">
        <v>249</v>
      </c>
      <c r="I212" s="7">
        <v>30256</v>
      </c>
      <c r="J212" s="11">
        <v>7.4861184558434685E-2</v>
      </c>
      <c r="K212" s="7">
        <v>47066</v>
      </c>
      <c r="L212" s="7">
        <v>196</v>
      </c>
      <c r="M212" s="6" t="s">
        <v>19</v>
      </c>
      <c r="N212" s="6" t="s">
        <v>18</v>
      </c>
    </row>
    <row r="213" spans="1:14" x14ac:dyDescent="0.25">
      <c r="A213" s="6" t="s">
        <v>194</v>
      </c>
      <c r="B213" s="6" t="s">
        <v>17</v>
      </c>
      <c r="C213" s="9">
        <v>45569</v>
      </c>
      <c r="D213" s="6" t="s">
        <v>53</v>
      </c>
      <c r="E213" s="6" t="s">
        <v>51</v>
      </c>
      <c r="F213" s="7">
        <v>2870</v>
      </c>
      <c r="G213" s="7">
        <v>380</v>
      </c>
      <c r="H213" s="7">
        <v>393</v>
      </c>
      <c r="I213" s="7">
        <v>37621</v>
      </c>
      <c r="J213" s="11">
        <v>9.6834214933149046E-2</v>
      </c>
      <c r="K213" s="7">
        <v>71794</v>
      </c>
      <c r="L213" s="7">
        <v>127</v>
      </c>
      <c r="M213" s="6" t="s">
        <v>19</v>
      </c>
      <c r="N213" s="6" t="s">
        <v>14</v>
      </c>
    </row>
    <row r="214" spans="1:14" x14ac:dyDescent="0.25">
      <c r="A214" s="6" t="s">
        <v>194</v>
      </c>
      <c r="B214" s="6" t="s">
        <v>17</v>
      </c>
      <c r="C214" s="9">
        <v>45569</v>
      </c>
      <c r="D214" s="6" t="s">
        <v>53</v>
      </c>
      <c r="E214" s="6" t="s">
        <v>51</v>
      </c>
      <c r="F214" s="7">
        <v>2870</v>
      </c>
      <c r="G214" s="7">
        <v>380</v>
      </c>
      <c r="H214" s="7">
        <v>393</v>
      </c>
      <c r="I214" s="7">
        <v>37621</v>
      </c>
      <c r="J214" s="11">
        <v>9.6834214933149046E-2</v>
      </c>
      <c r="K214" s="7">
        <v>71794</v>
      </c>
      <c r="L214" s="7">
        <v>127</v>
      </c>
      <c r="M214" s="6" t="s">
        <v>19</v>
      </c>
      <c r="N214" s="6" t="s">
        <v>18</v>
      </c>
    </row>
    <row r="215" spans="1:14" x14ac:dyDescent="0.25">
      <c r="A215" s="6" t="s">
        <v>195</v>
      </c>
      <c r="B215" s="6" t="s">
        <v>17</v>
      </c>
      <c r="C215" s="9">
        <v>45615</v>
      </c>
      <c r="D215" s="6" t="s">
        <v>48</v>
      </c>
      <c r="E215" s="6" t="s">
        <v>65</v>
      </c>
      <c r="F215" s="7">
        <v>3728</v>
      </c>
      <c r="G215" s="7">
        <v>271</v>
      </c>
      <c r="H215" s="7">
        <v>275</v>
      </c>
      <c r="I215" s="7">
        <v>22827</v>
      </c>
      <c r="J215" s="11">
        <v>0.18723441538528934</v>
      </c>
      <c r="K215" s="7">
        <v>37034</v>
      </c>
      <c r="L215" s="7">
        <v>199</v>
      </c>
      <c r="M215" s="6" t="s">
        <v>19</v>
      </c>
      <c r="N215" s="6" t="s">
        <v>18</v>
      </c>
    </row>
    <row r="216" spans="1:14" x14ac:dyDescent="0.25">
      <c r="A216" s="6" t="s">
        <v>196</v>
      </c>
      <c r="B216" s="6" t="s">
        <v>17</v>
      </c>
      <c r="C216" s="9">
        <v>45387</v>
      </c>
      <c r="D216" s="6" t="s">
        <v>53</v>
      </c>
      <c r="E216" s="6" t="s">
        <v>54</v>
      </c>
      <c r="F216" s="7">
        <v>4965</v>
      </c>
      <c r="G216" s="7">
        <v>175</v>
      </c>
      <c r="H216" s="7">
        <v>307</v>
      </c>
      <c r="I216" s="7">
        <v>32793</v>
      </c>
      <c r="J216" s="11">
        <v>0.16610252187966945</v>
      </c>
      <c r="K216" s="7">
        <v>43412</v>
      </c>
      <c r="L216" s="7">
        <v>296</v>
      </c>
      <c r="M216" s="6" t="s">
        <v>19</v>
      </c>
      <c r="N216" s="6" t="s">
        <v>22</v>
      </c>
    </row>
    <row r="217" spans="1:14" x14ac:dyDescent="0.25">
      <c r="A217" s="6" t="s">
        <v>196</v>
      </c>
      <c r="B217" s="6" t="s">
        <v>17</v>
      </c>
      <c r="C217" s="9">
        <v>45387</v>
      </c>
      <c r="D217" s="6" t="s">
        <v>53</v>
      </c>
      <c r="E217" s="6" t="s">
        <v>54</v>
      </c>
      <c r="F217" s="7">
        <v>4965</v>
      </c>
      <c r="G217" s="7">
        <v>175</v>
      </c>
      <c r="H217" s="7">
        <v>307</v>
      </c>
      <c r="I217" s="7">
        <v>32793</v>
      </c>
      <c r="J217" s="11">
        <v>0.16610252187966945</v>
      </c>
      <c r="K217" s="7">
        <v>43412</v>
      </c>
      <c r="L217" s="7">
        <v>296</v>
      </c>
      <c r="M217" s="6" t="s">
        <v>19</v>
      </c>
      <c r="N217" s="6" t="s">
        <v>18</v>
      </c>
    </row>
    <row r="218" spans="1:14" x14ac:dyDescent="0.25">
      <c r="A218" s="6" t="s">
        <v>197</v>
      </c>
      <c r="B218" s="6" t="s">
        <v>17</v>
      </c>
      <c r="C218" s="9">
        <v>45624</v>
      </c>
      <c r="D218" s="6" t="s">
        <v>53</v>
      </c>
      <c r="E218" s="6" t="s">
        <v>54</v>
      </c>
      <c r="F218" s="7">
        <v>1131</v>
      </c>
      <c r="G218" s="7">
        <v>100</v>
      </c>
      <c r="H218" s="7">
        <v>116</v>
      </c>
      <c r="I218" s="7">
        <v>48437</v>
      </c>
      <c r="J218" s="11">
        <v>2.7809319322005904E-2</v>
      </c>
      <c r="K218" s="7">
        <v>72704</v>
      </c>
      <c r="L218" s="7">
        <v>236</v>
      </c>
      <c r="M218" s="6" t="s">
        <v>19</v>
      </c>
      <c r="N218" s="6" t="s">
        <v>26</v>
      </c>
    </row>
    <row r="219" spans="1:14" x14ac:dyDescent="0.25">
      <c r="A219" s="6" t="s">
        <v>197</v>
      </c>
      <c r="B219" s="6" t="s">
        <v>17</v>
      </c>
      <c r="C219" s="9">
        <v>45624</v>
      </c>
      <c r="D219" s="6" t="s">
        <v>53</v>
      </c>
      <c r="E219" s="6" t="s">
        <v>54</v>
      </c>
      <c r="F219" s="7">
        <v>1131</v>
      </c>
      <c r="G219" s="7">
        <v>100</v>
      </c>
      <c r="H219" s="7">
        <v>116</v>
      </c>
      <c r="I219" s="7">
        <v>48437</v>
      </c>
      <c r="J219" s="11">
        <v>2.7809319322005904E-2</v>
      </c>
      <c r="K219" s="7">
        <v>72704</v>
      </c>
      <c r="L219" s="7">
        <v>236</v>
      </c>
      <c r="M219" s="6" t="s">
        <v>19</v>
      </c>
      <c r="N219" s="6" t="s">
        <v>14</v>
      </c>
    </row>
    <row r="220" spans="1:14" x14ac:dyDescent="0.25">
      <c r="A220" s="6" t="s">
        <v>198</v>
      </c>
      <c r="B220" s="6" t="s">
        <v>17</v>
      </c>
      <c r="C220" s="9">
        <v>45725</v>
      </c>
      <c r="D220" s="6" t="s">
        <v>48</v>
      </c>
      <c r="E220" s="6" t="s">
        <v>73</v>
      </c>
      <c r="F220" s="7">
        <v>2754</v>
      </c>
      <c r="G220" s="7">
        <v>215</v>
      </c>
      <c r="H220" s="7">
        <v>264</v>
      </c>
      <c r="I220" s="7">
        <v>27762</v>
      </c>
      <c r="J220" s="11">
        <v>0.11645414595490239</v>
      </c>
      <c r="K220" s="7">
        <v>70203</v>
      </c>
      <c r="L220" s="7">
        <v>289</v>
      </c>
      <c r="M220" s="6" t="s">
        <v>19</v>
      </c>
      <c r="N220" s="6" t="s">
        <v>18</v>
      </c>
    </row>
    <row r="221" spans="1:14" x14ac:dyDescent="0.25">
      <c r="A221" s="6" t="s">
        <v>199</v>
      </c>
      <c r="B221" s="6" t="s">
        <v>17</v>
      </c>
      <c r="C221" s="9">
        <v>45531</v>
      </c>
      <c r="D221" s="6" t="s">
        <v>53</v>
      </c>
      <c r="E221" s="6" t="s">
        <v>54</v>
      </c>
      <c r="F221" s="7">
        <v>1856</v>
      </c>
      <c r="G221" s="7">
        <v>357</v>
      </c>
      <c r="H221" s="7">
        <v>348</v>
      </c>
      <c r="I221" s="7">
        <v>29428</v>
      </c>
      <c r="J221" s="11">
        <v>8.702596166915863E-2</v>
      </c>
      <c r="K221" s="7">
        <v>70206</v>
      </c>
      <c r="L221" s="7">
        <v>236</v>
      </c>
      <c r="M221" s="6" t="s">
        <v>19</v>
      </c>
      <c r="N221" s="6" t="s">
        <v>14</v>
      </c>
    </row>
    <row r="222" spans="1:14" x14ac:dyDescent="0.25">
      <c r="A222" s="6" t="s">
        <v>199</v>
      </c>
      <c r="B222" s="6" t="s">
        <v>17</v>
      </c>
      <c r="C222" s="9">
        <v>45531</v>
      </c>
      <c r="D222" s="6" t="s">
        <v>53</v>
      </c>
      <c r="E222" s="6" t="s">
        <v>54</v>
      </c>
      <c r="F222" s="7">
        <v>1856</v>
      </c>
      <c r="G222" s="7">
        <v>357</v>
      </c>
      <c r="H222" s="7">
        <v>348</v>
      </c>
      <c r="I222" s="7">
        <v>29428</v>
      </c>
      <c r="J222" s="11">
        <v>8.702596166915863E-2</v>
      </c>
      <c r="K222" s="7">
        <v>70206</v>
      </c>
      <c r="L222" s="7">
        <v>236</v>
      </c>
      <c r="M222" s="6" t="s">
        <v>19</v>
      </c>
      <c r="N222" s="6" t="s">
        <v>18</v>
      </c>
    </row>
    <row r="223" spans="1:14" x14ac:dyDescent="0.25">
      <c r="A223" s="6" t="s">
        <v>200</v>
      </c>
      <c r="B223" s="6" t="s">
        <v>12</v>
      </c>
      <c r="C223" s="9">
        <v>45566</v>
      </c>
      <c r="D223" s="6" t="s">
        <v>78</v>
      </c>
      <c r="E223" s="6" t="s">
        <v>51</v>
      </c>
      <c r="F223" s="7">
        <v>3543</v>
      </c>
      <c r="G223" s="7">
        <v>334</v>
      </c>
      <c r="H223" s="7">
        <v>218</v>
      </c>
      <c r="I223" s="7">
        <v>58007</v>
      </c>
      <c r="J223" s="11">
        <v>7.0594928198320889E-2</v>
      </c>
      <c r="K223" s="7">
        <v>24792</v>
      </c>
      <c r="L223" s="7">
        <v>273</v>
      </c>
      <c r="M223" s="6" t="s">
        <v>9</v>
      </c>
      <c r="N223" s="6" t="s">
        <v>26</v>
      </c>
    </row>
    <row r="224" spans="1:14" x14ac:dyDescent="0.25">
      <c r="A224" s="6" t="s">
        <v>200</v>
      </c>
      <c r="B224" s="6" t="s">
        <v>12</v>
      </c>
      <c r="C224" s="9">
        <v>45566</v>
      </c>
      <c r="D224" s="6" t="s">
        <v>78</v>
      </c>
      <c r="E224" s="6" t="s">
        <v>51</v>
      </c>
      <c r="F224" s="7">
        <v>3543</v>
      </c>
      <c r="G224" s="7">
        <v>334</v>
      </c>
      <c r="H224" s="7">
        <v>218</v>
      </c>
      <c r="I224" s="7">
        <v>58007</v>
      </c>
      <c r="J224" s="11">
        <v>7.0594928198320889E-2</v>
      </c>
      <c r="K224" s="7">
        <v>24792</v>
      </c>
      <c r="L224" s="7">
        <v>273</v>
      </c>
      <c r="M224" s="6" t="s">
        <v>9</v>
      </c>
      <c r="N224" s="6" t="s">
        <v>22</v>
      </c>
    </row>
    <row r="225" spans="1:14" x14ac:dyDescent="0.25">
      <c r="A225" s="6" t="s">
        <v>201</v>
      </c>
      <c r="B225" s="6" t="s">
        <v>11</v>
      </c>
      <c r="C225" s="9">
        <v>45647</v>
      </c>
      <c r="D225" s="6" t="s">
        <v>53</v>
      </c>
      <c r="E225" s="6" t="s">
        <v>54</v>
      </c>
      <c r="F225" s="7">
        <v>4563</v>
      </c>
      <c r="G225" s="7">
        <v>398</v>
      </c>
      <c r="H225" s="7">
        <v>163</v>
      </c>
      <c r="I225" s="7">
        <v>43679</v>
      </c>
      <c r="J225" s="11">
        <v>0.11731037798484398</v>
      </c>
      <c r="K225" s="7">
        <v>48760</v>
      </c>
      <c r="L225" s="7">
        <v>92</v>
      </c>
      <c r="M225" s="6" t="s">
        <v>15</v>
      </c>
      <c r="N225" s="6" t="s">
        <v>18</v>
      </c>
    </row>
    <row r="226" spans="1:14" x14ac:dyDescent="0.25">
      <c r="A226" s="6" t="s">
        <v>202</v>
      </c>
      <c r="B226" s="6" t="s">
        <v>11</v>
      </c>
      <c r="C226" s="9">
        <v>45460</v>
      </c>
      <c r="D226" s="6" t="s">
        <v>48</v>
      </c>
      <c r="E226" s="6" t="s">
        <v>49</v>
      </c>
      <c r="F226" s="7">
        <v>4283</v>
      </c>
      <c r="G226" s="7">
        <v>471</v>
      </c>
      <c r="H226" s="7">
        <v>156</v>
      </c>
      <c r="I226" s="7">
        <v>53004</v>
      </c>
      <c r="J226" s="11">
        <v>9.2634518149573616E-2</v>
      </c>
      <c r="K226" s="7">
        <v>25678</v>
      </c>
      <c r="L226" s="7">
        <v>105</v>
      </c>
      <c r="M226" s="6" t="s">
        <v>23</v>
      </c>
      <c r="N226" s="6" t="s">
        <v>26</v>
      </c>
    </row>
    <row r="227" spans="1:14" x14ac:dyDescent="0.25">
      <c r="A227" s="6" t="s">
        <v>203</v>
      </c>
      <c r="B227" s="6" t="s">
        <v>11</v>
      </c>
      <c r="C227" s="9">
        <v>45702</v>
      </c>
      <c r="D227" s="6" t="s">
        <v>48</v>
      </c>
      <c r="E227" s="6" t="s">
        <v>49</v>
      </c>
      <c r="F227" s="7">
        <v>2329</v>
      </c>
      <c r="G227" s="7">
        <v>373</v>
      </c>
      <c r="H227" s="7">
        <v>291</v>
      </c>
      <c r="I227" s="7">
        <v>49577</v>
      </c>
      <c r="J227" s="11">
        <v>6.0370736430199488E-2</v>
      </c>
      <c r="K227" s="7">
        <v>28002</v>
      </c>
      <c r="L227" s="7">
        <v>82</v>
      </c>
      <c r="M227" s="6" t="s">
        <v>19</v>
      </c>
      <c r="N227" s="6" t="s">
        <v>22</v>
      </c>
    </row>
    <row r="228" spans="1:14" x14ac:dyDescent="0.25">
      <c r="A228" s="6" t="s">
        <v>203</v>
      </c>
      <c r="B228" s="6" t="s">
        <v>11</v>
      </c>
      <c r="C228" s="9">
        <v>45702</v>
      </c>
      <c r="D228" s="6" t="s">
        <v>48</v>
      </c>
      <c r="E228" s="6" t="s">
        <v>49</v>
      </c>
      <c r="F228" s="7">
        <v>2329</v>
      </c>
      <c r="G228" s="7">
        <v>373</v>
      </c>
      <c r="H228" s="7">
        <v>291</v>
      </c>
      <c r="I228" s="7">
        <v>49577</v>
      </c>
      <c r="J228" s="11">
        <v>6.0370736430199488E-2</v>
      </c>
      <c r="K228" s="7">
        <v>28002</v>
      </c>
      <c r="L228" s="7">
        <v>82</v>
      </c>
      <c r="M228" s="6" t="s">
        <v>19</v>
      </c>
      <c r="N228" s="6" t="s">
        <v>18</v>
      </c>
    </row>
    <row r="229" spans="1:14" x14ac:dyDescent="0.25">
      <c r="A229" s="6" t="s">
        <v>204</v>
      </c>
      <c r="B229" s="6" t="s">
        <v>17</v>
      </c>
      <c r="C229" s="9">
        <v>45805</v>
      </c>
      <c r="D229" s="6" t="s">
        <v>53</v>
      </c>
      <c r="E229" s="6" t="s">
        <v>65</v>
      </c>
      <c r="F229" s="7">
        <v>4287</v>
      </c>
      <c r="G229" s="7">
        <v>273</v>
      </c>
      <c r="H229" s="7">
        <v>122</v>
      </c>
      <c r="I229" s="7">
        <v>40792</v>
      </c>
      <c r="J229" s="11">
        <v>0.11477740733477153</v>
      </c>
      <c r="K229" s="7">
        <v>23878</v>
      </c>
      <c r="L229" s="7">
        <v>277</v>
      </c>
      <c r="M229" s="6" t="s">
        <v>19</v>
      </c>
      <c r="N229" s="6" t="s">
        <v>14</v>
      </c>
    </row>
    <row r="230" spans="1:14" x14ac:dyDescent="0.25">
      <c r="A230" s="6" t="s">
        <v>204</v>
      </c>
      <c r="B230" s="6" t="s">
        <v>17</v>
      </c>
      <c r="C230" s="9">
        <v>45805</v>
      </c>
      <c r="D230" s="6" t="s">
        <v>53</v>
      </c>
      <c r="E230" s="6" t="s">
        <v>65</v>
      </c>
      <c r="F230" s="7">
        <v>4287</v>
      </c>
      <c r="G230" s="7">
        <v>273</v>
      </c>
      <c r="H230" s="7">
        <v>122</v>
      </c>
      <c r="I230" s="7">
        <v>40792</v>
      </c>
      <c r="J230" s="11">
        <v>0.11477740733477153</v>
      </c>
      <c r="K230" s="7">
        <v>23878</v>
      </c>
      <c r="L230" s="7">
        <v>277</v>
      </c>
      <c r="M230" s="6" t="s">
        <v>19</v>
      </c>
      <c r="N230" s="6" t="s">
        <v>18</v>
      </c>
    </row>
    <row r="231" spans="1:14" x14ac:dyDescent="0.25">
      <c r="A231" s="6" t="s">
        <v>205</v>
      </c>
      <c r="B231" s="6" t="s">
        <v>11</v>
      </c>
      <c r="C231" s="9">
        <v>45799</v>
      </c>
      <c r="D231" s="6" t="s">
        <v>48</v>
      </c>
      <c r="E231" s="6" t="s">
        <v>49</v>
      </c>
      <c r="F231" s="7">
        <v>2633</v>
      </c>
      <c r="G231" s="7">
        <v>318</v>
      </c>
      <c r="H231" s="7">
        <v>380</v>
      </c>
      <c r="I231" s="7">
        <v>40869</v>
      </c>
      <c r="J231" s="11">
        <v>8.1504318676747664E-2</v>
      </c>
      <c r="K231" s="7">
        <v>64474</v>
      </c>
      <c r="L231" s="7">
        <v>245</v>
      </c>
      <c r="M231" s="6" t="s">
        <v>23</v>
      </c>
      <c r="N231" s="6" t="s">
        <v>26</v>
      </c>
    </row>
    <row r="232" spans="1:14" x14ac:dyDescent="0.25">
      <c r="A232" s="6" t="s">
        <v>206</v>
      </c>
      <c r="B232" s="6" t="s">
        <v>17</v>
      </c>
      <c r="C232" s="9">
        <v>45312</v>
      </c>
      <c r="D232" s="6" t="s">
        <v>53</v>
      </c>
      <c r="E232" s="6" t="s">
        <v>49</v>
      </c>
      <c r="F232" s="7">
        <v>2383</v>
      </c>
      <c r="G232" s="7">
        <v>136</v>
      </c>
      <c r="H232" s="7">
        <v>302</v>
      </c>
      <c r="I232" s="7">
        <v>39187</v>
      </c>
      <c r="J232" s="11">
        <v>7.1988159338556151E-2</v>
      </c>
      <c r="K232" s="7">
        <v>22133</v>
      </c>
      <c r="L232" s="7">
        <v>208</v>
      </c>
      <c r="M232" s="6" t="s">
        <v>19</v>
      </c>
      <c r="N232" s="6" t="s">
        <v>14</v>
      </c>
    </row>
    <row r="233" spans="1:14" x14ac:dyDescent="0.25">
      <c r="A233" s="6" t="s">
        <v>206</v>
      </c>
      <c r="B233" s="6" t="s">
        <v>17</v>
      </c>
      <c r="C233" s="9">
        <v>45312</v>
      </c>
      <c r="D233" s="6" t="s">
        <v>53</v>
      </c>
      <c r="E233" s="6" t="s">
        <v>49</v>
      </c>
      <c r="F233" s="7">
        <v>2383</v>
      </c>
      <c r="G233" s="7">
        <v>136</v>
      </c>
      <c r="H233" s="7">
        <v>302</v>
      </c>
      <c r="I233" s="7">
        <v>39187</v>
      </c>
      <c r="J233" s="11">
        <v>7.1988159338556151E-2</v>
      </c>
      <c r="K233" s="7">
        <v>22133</v>
      </c>
      <c r="L233" s="7">
        <v>208</v>
      </c>
      <c r="M233" s="6" t="s">
        <v>19</v>
      </c>
      <c r="N233" s="6" t="s">
        <v>18</v>
      </c>
    </row>
    <row r="234" spans="1:14" x14ac:dyDescent="0.25">
      <c r="A234" s="6" t="s">
        <v>207</v>
      </c>
      <c r="B234" s="6" t="s">
        <v>17</v>
      </c>
      <c r="C234" s="9">
        <v>45696</v>
      </c>
      <c r="D234" s="6" t="s">
        <v>53</v>
      </c>
      <c r="E234" s="6" t="s">
        <v>73</v>
      </c>
      <c r="F234" s="7">
        <v>4752</v>
      </c>
      <c r="G234" s="7">
        <v>334</v>
      </c>
      <c r="H234" s="7">
        <v>56</v>
      </c>
      <c r="I234" s="7">
        <v>48017</v>
      </c>
      <c r="J234" s="11">
        <v>0.10708707332819627</v>
      </c>
      <c r="K234" s="7">
        <v>55534</v>
      </c>
      <c r="L234" s="7">
        <v>270</v>
      </c>
      <c r="M234" s="6" t="s">
        <v>19</v>
      </c>
      <c r="N234" s="6" t="s">
        <v>26</v>
      </c>
    </row>
    <row r="235" spans="1:14" x14ac:dyDescent="0.25">
      <c r="A235" s="6" t="s">
        <v>207</v>
      </c>
      <c r="B235" s="6" t="s">
        <v>17</v>
      </c>
      <c r="C235" s="9">
        <v>45696</v>
      </c>
      <c r="D235" s="6" t="s">
        <v>53</v>
      </c>
      <c r="E235" s="6" t="s">
        <v>73</v>
      </c>
      <c r="F235" s="7">
        <v>4752</v>
      </c>
      <c r="G235" s="7">
        <v>334</v>
      </c>
      <c r="H235" s="7">
        <v>56</v>
      </c>
      <c r="I235" s="7">
        <v>48017</v>
      </c>
      <c r="J235" s="11">
        <v>0.10708707332819627</v>
      </c>
      <c r="K235" s="7">
        <v>55534</v>
      </c>
      <c r="L235" s="7">
        <v>270</v>
      </c>
      <c r="M235" s="6" t="s">
        <v>19</v>
      </c>
      <c r="N235" s="6" t="s">
        <v>14</v>
      </c>
    </row>
    <row r="236" spans="1:14" x14ac:dyDescent="0.25">
      <c r="A236" s="6" t="s">
        <v>208</v>
      </c>
      <c r="B236" s="6" t="s">
        <v>17</v>
      </c>
      <c r="C236" s="9">
        <v>45760</v>
      </c>
      <c r="D236" s="6" t="s">
        <v>48</v>
      </c>
      <c r="E236" s="6" t="s">
        <v>71</v>
      </c>
      <c r="F236" s="7">
        <v>3890</v>
      </c>
      <c r="G236" s="7">
        <v>408</v>
      </c>
      <c r="H236" s="7">
        <v>338</v>
      </c>
      <c r="I236" s="7">
        <v>56994</v>
      </c>
      <c r="J236" s="11">
        <v>8.1341895638137346E-2</v>
      </c>
      <c r="K236" s="7">
        <v>32621</v>
      </c>
      <c r="L236" s="7">
        <v>286</v>
      </c>
      <c r="M236" s="6" t="s">
        <v>23</v>
      </c>
      <c r="N236" s="6" t="s">
        <v>22</v>
      </c>
    </row>
    <row r="237" spans="1:14" x14ac:dyDescent="0.25">
      <c r="A237" s="6" t="s">
        <v>209</v>
      </c>
      <c r="B237" s="6" t="s">
        <v>17</v>
      </c>
      <c r="C237" s="9">
        <v>45442</v>
      </c>
      <c r="D237" s="6" t="s">
        <v>53</v>
      </c>
      <c r="E237" s="6" t="s">
        <v>73</v>
      </c>
      <c r="F237" s="7">
        <v>2311</v>
      </c>
      <c r="G237" s="7">
        <v>207</v>
      </c>
      <c r="H237" s="7">
        <v>363</v>
      </c>
      <c r="I237" s="7">
        <v>30349</v>
      </c>
      <c r="J237" s="11">
        <v>9.4928992718046723E-2</v>
      </c>
      <c r="K237" s="7">
        <v>32925</v>
      </c>
      <c r="L237" s="7">
        <v>88</v>
      </c>
      <c r="M237" s="6" t="s">
        <v>19</v>
      </c>
      <c r="N237" s="6" t="s">
        <v>14</v>
      </c>
    </row>
    <row r="238" spans="1:14" x14ac:dyDescent="0.25">
      <c r="A238" s="6" t="s">
        <v>209</v>
      </c>
      <c r="B238" s="6" t="s">
        <v>17</v>
      </c>
      <c r="C238" s="9">
        <v>45442</v>
      </c>
      <c r="D238" s="6" t="s">
        <v>53</v>
      </c>
      <c r="E238" s="6" t="s">
        <v>73</v>
      </c>
      <c r="F238" s="7">
        <v>2311</v>
      </c>
      <c r="G238" s="7">
        <v>207</v>
      </c>
      <c r="H238" s="7">
        <v>363</v>
      </c>
      <c r="I238" s="7">
        <v>30349</v>
      </c>
      <c r="J238" s="11">
        <v>9.4928992718046723E-2</v>
      </c>
      <c r="K238" s="7">
        <v>32925</v>
      </c>
      <c r="L238" s="7">
        <v>88</v>
      </c>
      <c r="M238" s="6" t="s">
        <v>19</v>
      </c>
      <c r="N238" s="6" t="s">
        <v>18</v>
      </c>
    </row>
    <row r="239" spans="1:14" x14ac:dyDescent="0.25">
      <c r="A239" s="6" t="s">
        <v>210</v>
      </c>
      <c r="B239" s="6" t="s">
        <v>11</v>
      </c>
      <c r="C239" s="9">
        <v>45516</v>
      </c>
      <c r="D239" s="6" t="s">
        <v>53</v>
      </c>
      <c r="E239" s="6" t="s">
        <v>49</v>
      </c>
      <c r="F239" s="7">
        <v>2962</v>
      </c>
      <c r="G239" s="7">
        <v>400</v>
      </c>
      <c r="H239" s="7">
        <v>280</v>
      </c>
      <c r="I239" s="7">
        <v>52508</v>
      </c>
      <c r="J239" s="11">
        <v>6.9360859297630834E-2</v>
      </c>
      <c r="K239" s="7">
        <v>58329</v>
      </c>
      <c r="L239" s="7">
        <v>219</v>
      </c>
      <c r="M239" s="6" t="s">
        <v>15</v>
      </c>
      <c r="N239" s="6" t="s">
        <v>18</v>
      </c>
    </row>
    <row r="240" spans="1:14" x14ac:dyDescent="0.25">
      <c r="A240" s="6" t="s">
        <v>211</v>
      </c>
      <c r="B240" s="6" t="s">
        <v>11</v>
      </c>
      <c r="C240" s="9">
        <v>45562</v>
      </c>
      <c r="D240" s="6" t="s">
        <v>48</v>
      </c>
      <c r="E240" s="6" t="s">
        <v>49</v>
      </c>
      <c r="F240" s="7">
        <v>3118</v>
      </c>
      <c r="G240" s="7">
        <v>116</v>
      </c>
      <c r="H240" s="7">
        <v>195</v>
      </c>
      <c r="I240" s="7">
        <v>37100</v>
      </c>
      <c r="J240" s="11">
        <v>9.2425876010781671E-2</v>
      </c>
      <c r="K240" s="7">
        <v>62629</v>
      </c>
      <c r="L240" s="7">
        <v>272</v>
      </c>
      <c r="M240" s="6" t="s">
        <v>23</v>
      </c>
      <c r="N240" s="6" t="s">
        <v>26</v>
      </c>
    </row>
    <row r="241" spans="1:14" x14ac:dyDescent="0.25">
      <c r="A241" s="6" t="s">
        <v>212</v>
      </c>
      <c r="B241" s="6" t="s">
        <v>17</v>
      </c>
      <c r="C241" s="9">
        <v>45819</v>
      </c>
      <c r="D241" s="6" t="s">
        <v>53</v>
      </c>
      <c r="E241" s="6" t="s">
        <v>51</v>
      </c>
      <c r="F241" s="7">
        <v>3805</v>
      </c>
      <c r="G241" s="7">
        <v>453</v>
      </c>
      <c r="H241" s="7">
        <v>63</v>
      </c>
      <c r="I241" s="7">
        <v>52395</v>
      </c>
      <c r="J241" s="11">
        <v>8.2469701307376658E-2</v>
      </c>
      <c r="K241" s="7">
        <v>72934</v>
      </c>
      <c r="L241" s="7">
        <v>87</v>
      </c>
      <c r="M241" s="6" t="s">
        <v>19</v>
      </c>
      <c r="N241" s="6" t="s">
        <v>26</v>
      </c>
    </row>
    <row r="242" spans="1:14" x14ac:dyDescent="0.25">
      <c r="A242" s="6" t="s">
        <v>212</v>
      </c>
      <c r="B242" s="6" t="s">
        <v>17</v>
      </c>
      <c r="C242" s="9">
        <v>45819</v>
      </c>
      <c r="D242" s="6" t="s">
        <v>53</v>
      </c>
      <c r="E242" s="6" t="s">
        <v>51</v>
      </c>
      <c r="F242" s="7">
        <v>3805</v>
      </c>
      <c r="G242" s="7">
        <v>453</v>
      </c>
      <c r="H242" s="7">
        <v>63</v>
      </c>
      <c r="I242" s="7">
        <v>52395</v>
      </c>
      <c r="J242" s="11">
        <v>8.2469701307376658E-2</v>
      </c>
      <c r="K242" s="7">
        <v>72934</v>
      </c>
      <c r="L242" s="7">
        <v>87</v>
      </c>
      <c r="M242" s="6" t="s">
        <v>19</v>
      </c>
      <c r="N242" s="6" t="s">
        <v>14</v>
      </c>
    </row>
    <row r="243" spans="1:14" x14ac:dyDescent="0.25">
      <c r="A243" s="6" t="s">
        <v>213</v>
      </c>
      <c r="B243" s="6" t="s">
        <v>11</v>
      </c>
      <c r="C243" s="9">
        <v>45615</v>
      </c>
      <c r="D243" s="6" t="s">
        <v>48</v>
      </c>
      <c r="E243" s="6" t="s">
        <v>60</v>
      </c>
      <c r="F243" s="7">
        <v>2525</v>
      </c>
      <c r="G243" s="7">
        <v>272</v>
      </c>
      <c r="H243" s="7">
        <v>294</v>
      </c>
      <c r="I243" s="7">
        <v>51875</v>
      </c>
      <c r="J243" s="11">
        <v>5.9585542168674697E-2</v>
      </c>
      <c r="K243" s="7">
        <v>24732</v>
      </c>
      <c r="L243" s="7">
        <v>92</v>
      </c>
      <c r="M243" s="6" t="s">
        <v>23</v>
      </c>
      <c r="N243" s="6" t="s">
        <v>26</v>
      </c>
    </row>
    <row r="244" spans="1:14" x14ac:dyDescent="0.25">
      <c r="A244" s="6" t="s">
        <v>214</v>
      </c>
      <c r="B244" s="6" t="s">
        <v>11</v>
      </c>
      <c r="C244" s="9">
        <v>45407</v>
      </c>
      <c r="D244" s="6" t="s">
        <v>48</v>
      </c>
      <c r="E244" s="6" t="s">
        <v>58</v>
      </c>
      <c r="F244" s="7">
        <v>3563</v>
      </c>
      <c r="G244" s="7">
        <v>483</v>
      </c>
      <c r="H244" s="7">
        <v>227</v>
      </c>
      <c r="I244" s="7">
        <v>41085</v>
      </c>
      <c r="J244" s="11">
        <v>0.10400389436534015</v>
      </c>
      <c r="K244" s="7">
        <v>26393</v>
      </c>
      <c r="L244" s="7">
        <v>236</v>
      </c>
      <c r="M244" s="6" t="s">
        <v>19</v>
      </c>
      <c r="N244" s="6" t="s">
        <v>22</v>
      </c>
    </row>
    <row r="245" spans="1:14" x14ac:dyDescent="0.25">
      <c r="A245" s="6" t="s">
        <v>214</v>
      </c>
      <c r="B245" s="6" t="s">
        <v>11</v>
      </c>
      <c r="C245" s="9">
        <v>45407</v>
      </c>
      <c r="D245" s="6" t="s">
        <v>48</v>
      </c>
      <c r="E245" s="6" t="s">
        <v>58</v>
      </c>
      <c r="F245" s="7">
        <v>3563</v>
      </c>
      <c r="G245" s="7">
        <v>483</v>
      </c>
      <c r="H245" s="7">
        <v>227</v>
      </c>
      <c r="I245" s="7">
        <v>41085</v>
      </c>
      <c r="J245" s="11">
        <v>0.10400389436534015</v>
      </c>
      <c r="K245" s="7">
        <v>26393</v>
      </c>
      <c r="L245" s="7">
        <v>236</v>
      </c>
      <c r="M245" s="6" t="s">
        <v>19</v>
      </c>
      <c r="N245" s="6" t="s">
        <v>18</v>
      </c>
    </row>
    <row r="246" spans="1:14" x14ac:dyDescent="0.25">
      <c r="A246" s="6" t="s">
        <v>215</v>
      </c>
      <c r="B246" s="6" t="s">
        <v>12</v>
      </c>
      <c r="C246" s="9">
        <v>45538</v>
      </c>
      <c r="D246" s="6" t="s">
        <v>78</v>
      </c>
      <c r="E246" s="6" t="s">
        <v>60</v>
      </c>
      <c r="F246" s="7">
        <v>1437</v>
      </c>
      <c r="G246" s="7">
        <v>494</v>
      </c>
      <c r="H246" s="7">
        <v>129</v>
      </c>
      <c r="I246" s="7">
        <v>53048</v>
      </c>
      <c r="J246" s="11">
        <v>3.8832755240536872E-2</v>
      </c>
      <c r="K246" s="7">
        <v>44090</v>
      </c>
      <c r="L246" s="7">
        <v>230</v>
      </c>
      <c r="M246" s="6" t="s">
        <v>9</v>
      </c>
      <c r="N246" s="6" t="s">
        <v>26</v>
      </c>
    </row>
    <row r="247" spans="1:14" x14ac:dyDescent="0.25">
      <c r="A247" s="6" t="s">
        <v>215</v>
      </c>
      <c r="B247" s="6" t="s">
        <v>12</v>
      </c>
      <c r="C247" s="9">
        <v>45538</v>
      </c>
      <c r="D247" s="6" t="s">
        <v>78</v>
      </c>
      <c r="E247" s="6" t="s">
        <v>60</v>
      </c>
      <c r="F247" s="7">
        <v>1437</v>
      </c>
      <c r="G247" s="7">
        <v>494</v>
      </c>
      <c r="H247" s="7">
        <v>129</v>
      </c>
      <c r="I247" s="7">
        <v>53048</v>
      </c>
      <c r="J247" s="11">
        <v>3.8832755240536872E-2</v>
      </c>
      <c r="K247" s="7">
        <v>44090</v>
      </c>
      <c r="L247" s="7">
        <v>230</v>
      </c>
      <c r="M247" s="6" t="s">
        <v>9</v>
      </c>
      <c r="N247" s="6" t="s">
        <v>22</v>
      </c>
    </row>
    <row r="248" spans="1:14" x14ac:dyDescent="0.25">
      <c r="A248" s="6" t="s">
        <v>216</v>
      </c>
      <c r="B248" s="6" t="s">
        <v>12</v>
      </c>
      <c r="C248" s="9">
        <v>45718</v>
      </c>
      <c r="D248" s="6" t="s">
        <v>48</v>
      </c>
      <c r="E248" s="6" t="s">
        <v>71</v>
      </c>
      <c r="F248" s="7">
        <v>4425</v>
      </c>
      <c r="G248" s="7">
        <v>185</v>
      </c>
      <c r="H248" s="7">
        <v>162</v>
      </c>
      <c r="I248" s="7">
        <v>24610</v>
      </c>
      <c r="J248" s="11">
        <v>0.19390491670052823</v>
      </c>
      <c r="K248" s="7">
        <v>21342</v>
      </c>
      <c r="L248" s="7">
        <v>158</v>
      </c>
      <c r="M248" s="6" t="s">
        <v>23</v>
      </c>
      <c r="N248" s="6" t="s">
        <v>26</v>
      </c>
    </row>
    <row r="249" spans="1:14" x14ac:dyDescent="0.25">
      <c r="A249" s="6" t="s">
        <v>216</v>
      </c>
      <c r="B249" s="6" t="s">
        <v>12</v>
      </c>
      <c r="C249" s="9">
        <v>45718</v>
      </c>
      <c r="D249" s="6" t="s">
        <v>48</v>
      </c>
      <c r="E249" s="6" t="s">
        <v>71</v>
      </c>
      <c r="F249" s="7">
        <v>4425</v>
      </c>
      <c r="G249" s="7">
        <v>185</v>
      </c>
      <c r="H249" s="7">
        <v>162</v>
      </c>
      <c r="I249" s="7">
        <v>24610</v>
      </c>
      <c r="J249" s="11">
        <v>0.19390491670052823</v>
      </c>
      <c r="K249" s="7">
        <v>21342</v>
      </c>
      <c r="L249" s="7">
        <v>158</v>
      </c>
      <c r="M249" s="6" t="s">
        <v>23</v>
      </c>
      <c r="N249" s="6" t="s">
        <v>13</v>
      </c>
    </row>
    <row r="250" spans="1:14" x14ac:dyDescent="0.25">
      <c r="A250" s="6" t="s">
        <v>217</v>
      </c>
      <c r="B250" s="6" t="s">
        <v>17</v>
      </c>
      <c r="C250" s="9">
        <v>45737</v>
      </c>
      <c r="D250" s="6" t="s">
        <v>53</v>
      </c>
      <c r="E250" s="6" t="s">
        <v>54</v>
      </c>
      <c r="F250" s="7">
        <v>4609</v>
      </c>
      <c r="G250" s="7">
        <v>427</v>
      </c>
      <c r="H250" s="7">
        <v>395</v>
      </c>
      <c r="I250" s="7">
        <v>33698</v>
      </c>
      <c r="J250" s="11">
        <v>0.16116683482699271</v>
      </c>
      <c r="K250" s="7">
        <v>29259</v>
      </c>
      <c r="L250" s="7">
        <v>216</v>
      </c>
      <c r="M250" s="6" t="s">
        <v>19</v>
      </c>
      <c r="N250" s="6" t="s">
        <v>26</v>
      </c>
    </row>
    <row r="251" spans="1:14" x14ac:dyDescent="0.25">
      <c r="A251" s="6" t="s">
        <v>217</v>
      </c>
      <c r="B251" s="6" t="s">
        <v>17</v>
      </c>
      <c r="C251" s="9">
        <v>45737</v>
      </c>
      <c r="D251" s="6" t="s">
        <v>53</v>
      </c>
      <c r="E251" s="6" t="s">
        <v>54</v>
      </c>
      <c r="F251" s="7">
        <v>4609</v>
      </c>
      <c r="G251" s="7">
        <v>427</v>
      </c>
      <c r="H251" s="7">
        <v>395</v>
      </c>
      <c r="I251" s="7">
        <v>33698</v>
      </c>
      <c r="J251" s="11">
        <v>0.16116683482699271</v>
      </c>
      <c r="K251" s="7">
        <v>29259</v>
      </c>
      <c r="L251" s="7">
        <v>216</v>
      </c>
      <c r="M251" s="6" t="s">
        <v>19</v>
      </c>
      <c r="N251" s="6" t="s">
        <v>14</v>
      </c>
    </row>
    <row r="252" spans="1:14" x14ac:dyDescent="0.25">
      <c r="A252" s="6" t="s">
        <v>218</v>
      </c>
      <c r="B252" s="6" t="s">
        <v>11</v>
      </c>
      <c r="C252" s="9">
        <v>45394</v>
      </c>
      <c r="D252" s="6" t="s">
        <v>53</v>
      </c>
      <c r="E252" s="6" t="s">
        <v>62</v>
      </c>
      <c r="F252" s="7">
        <v>1558</v>
      </c>
      <c r="G252" s="7">
        <v>352</v>
      </c>
      <c r="H252" s="7">
        <v>202</v>
      </c>
      <c r="I252" s="7">
        <v>25405</v>
      </c>
      <c r="J252" s="11">
        <v>8.3133241487896081E-2</v>
      </c>
      <c r="K252" s="7">
        <v>69941</v>
      </c>
      <c r="L252" s="7">
        <v>219</v>
      </c>
      <c r="M252" s="6" t="s">
        <v>15</v>
      </c>
      <c r="N252" s="6" t="s">
        <v>18</v>
      </c>
    </row>
    <row r="253" spans="1:14" x14ac:dyDescent="0.25">
      <c r="A253" s="6" t="s">
        <v>219</v>
      </c>
      <c r="B253" s="6" t="s">
        <v>12</v>
      </c>
      <c r="C253" s="9">
        <v>45330</v>
      </c>
      <c r="D253" s="6" t="s">
        <v>78</v>
      </c>
      <c r="E253" s="6" t="s">
        <v>65</v>
      </c>
      <c r="F253" s="7">
        <v>1889</v>
      </c>
      <c r="G253" s="7">
        <v>298</v>
      </c>
      <c r="H253" s="7">
        <v>122</v>
      </c>
      <c r="I253" s="7">
        <v>46225</v>
      </c>
      <c r="J253" s="11">
        <v>4.9951325040562468E-2</v>
      </c>
      <c r="K253" s="7">
        <v>74305</v>
      </c>
      <c r="L253" s="7">
        <v>293</v>
      </c>
      <c r="M253" s="6" t="s">
        <v>9</v>
      </c>
      <c r="N253" s="6" t="s">
        <v>26</v>
      </c>
    </row>
    <row r="254" spans="1:14" x14ac:dyDescent="0.25">
      <c r="A254" s="6" t="s">
        <v>219</v>
      </c>
      <c r="B254" s="6" t="s">
        <v>12</v>
      </c>
      <c r="C254" s="9">
        <v>45330</v>
      </c>
      <c r="D254" s="6" t="s">
        <v>78</v>
      </c>
      <c r="E254" s="6" t="s">
        <v>65</v>
      </c>
      <c r="F254" s="7">
        <v>1889</v>
      </c>
      <c r="G254" s="7">
        <v>298</v>
      </c>
      <c r="H254" s="7">
        <v>122</v>
      </c>
      <c r="I254" s="7">
        <v>46225</v>
      </c>
      <c r="J254" s="11">
        <v>4.9951325040562468E-2</v>
      </c>
      <c r="K254" s="7">
        <v>74305</v>
      </c>
      <c r="L254" s="7">
        <v>293</v>
      </c>
      <c r="M254" s="6" t="s">
        <v>9</v>
      </c>
      <c r="N254" s="6" t="s">
        <v>22</v>
      </c>
    </row>
    <row r="255" spans="1:14" x14ac:dyDescent="0.25">
      <c r="A255" s="6" t="s">
        <v>220</v>
      </c>
      <c r="B255" s="6" t="s">
        <v>11</v>
      </c>
      <c r="C255" s="9">
        <v>45803</v>
      </c>
      <c r="D255" s="6" t="s">
        <v>48</v>
      </c>
      <c r="E255" s="6" t="s">
        <v>49</v>
      </c>
      <c r="F255" s="7">
        <v>3086</v>
      </c>
      <c r="G255" s="7">
        <v>148</v>
      </c>
      <c r="H255" s="7">
        <v>310</v>
      </c>
      <c r="I255" s="7">
        <v>22824</v>
      </c>
      <c r="J255" s="11">
        <v>0.1552751489660007</v>
      </c>
      <c r="K255" s="7">
        <v>58103</v>
      </c>
      <c r="L255" s="7">
        <v>275</v>
      </c>
      <c r="M255" s="6" t="s">
        <v>23</v>
      </c>
      <c r="N255" s="6" t="s">
        <v>26</v>
      </c>
    </row>
    <row r="256" spans="1:14" x14ac:dyDescent="0.25">
      <c r="A256" s="6" t="s">
        <v>221</v>
      </c>
      <c r="B256" s="6" t="s">
        <v>11</v>
      </c>
      <c r="C256" s="9">
        <v>45610</v>
      </c>
      <c r="D256" s="6" t="s">
        <v>48</v>
      </c>
      <c r="E256" s="6" t="s">
        <v>58</v>
      </c>
      <c r="F256" s="7">
        <v>2422</v>
      </c>
      <c r="G256" s="7">
        <v>318</v>
      </c>
      <c r="H256" s="7">
        <v>118</v>
      </c>
      <c r="I256" s="7">
        <v>25386</v>
      </c>
      <c r="J256" s="11">
        <v>0.11258173796580792</v>
      </c>
      <c r="K256" s="7">
        <v>20873</v>
      </c>
      <c r="L256" s="7">
        <v>100</v>
      </c>
      <c r="M256" s="6" t="s">
        <v>19</v>
      </c>
      <c r="N256" s="6" t="s">
        <v>22</v>
      </c>
    </row>
    <row r="257" spans="1:14" x14ac:dyDescent="0.25">
      <c r="A257" s="6" t="s">
        <v>221</v>
      </c>
      <c r="B257" s="6" t="s">
        <v>11</v>
      </c>
      <c r="C257" s="9">
        <v>45610</v>
      </c>
      <c r="D257" s="6" t="s">
        <v>48</v>
      </c>
      <c r="E257" s="6" t="s">
        <v>58</v>
      </c>
      <c r="F257" s="7">
        <v>2422</v>
      </c>
      <c r="G257" s="7">
        <v>318</v>
      </c>
      <c r="H257" s="7">
        <v>118</v>
      </c>
      <c r="I257" s="7">
        <v>25386</v>
      </c>
      <c r="J257" s="11">
        <v>0.11258173796580792</v>
      </c>
      <c r="K257" s="7">
        <v>20873</v>
      </c>
      <c r="L257" s="7">
        <v>100</v>
      </c>
      <c r="M257" s="6" t="s">
        <v>19</v>
      </c>
      <c r="N257" s="6" t="s">
        <v>18</v>
      </c>
    </row>
    <row r="258" spans="1:14" x14ac:dyDescent="0.25">
      <c r="A258" s="6" t="s">
        <v>222</v>
      </c>
      <c r="B258" s="6" t="s">
        <v>12</v>
      </c>
      <c r="C258" s="9">
        <v>45513</v>
      </c>
      <c r="D258" s="6" t="s">
        <v>78</v>
      </c>
      <c r="E258" s="6" t="s">
        <v>71</v>
      </c>
      <c r="F258" s="7">
        <v>3414</v>
      </c>
      <c r="G258" s="7">
        <v>154</v>
      </c>
      <c r="H258" s="7">
        <v>204</v>
      </c>
      <c r="I258" s="7">
        <v>34146</v>
      </c>
      <c r="J258" s="11">
        <v>0.11046681895390383</v>
      </c>
      <c r="K258" s="7">
        <v>44633</v>
      </c>
      <c r="L258" s="7">
        <v>256</v>
      </c>
      <c r="M258" s="6" t="s">
        <v>9</v>
      </c>
      <c r="N258" s="6" t="s">
        <v>26</v>
      </c>
    </row>
    <row r="259" spans="1:14" x14ac:dyDescent="0.25">
      <c r="A259" s="6" t="s">
        <v>222</v>
      </c>
      <c r="B259" s="6" t="s">
        <v>12</v>
      </c>
      <c r="C259" s="9">
        <v>45513</v>
      </c>
      <c r="D259" s="6" t="s">
        <v>78</v>
      </c>
      <c r="E259" s="6" t="s">
        <v>71</v>
      </c>
      <c r="F259" s="7">
        <v>3414</v>
      </c>
      <c r="G259" s="7">
        <v>154</v>
      </c>
      <c r="H259" s="7">
        <v>204</v>
      </c>
      <c r="I259" s="7">
        <v>34146</v>
      </c>
      <c r="J259" s="11">
        <v>0.11046681895390383</v>
      </c>
      <c r="K259" s="7">
        <v>44633</v>
      </c>
      <c r="L259" s="7">
        <v>256</v>
      </c>
      <c r="M259" s="6" t="s">
        <v>9</v>
      </c>
      <c r="N259" s="6" t="s">
        <v>22</v>
      </c>
    </row>
    <row r="260" spans="1:14" x14ac:dyDescent="0.25">
      <c r="A260" s="6" t="s">
        <v>223</v>
      </c>
      <c r="B260" s="6" t="s">
        <v>11</v>
      </c>
      <c r="C260" s="9">
        <v>45835</v>
      </c>
      <c r="D260" s="6" t="s">
        <v>53</v>
      </c>
      <c r="E260" s="6" t="s">
        <v>60</v>
      </c>
      <c r="F260" s="7">
        <v>1342</v>
      </c>
      <c r="G260" s="7">
        <v>332</v>
      </c>
      <c r="H260" s="7">
        <v>163</v>
      </c>
      <c r="I260" s="7">
        <v>51712</v>
      </c>
      <c r="J260" s="11">
        <v>3.5523669554455448E-2</v>
      </c>
      <c r="K260" s="7">
        <v>57922</v>
      </c>
      <c r="L260" s="7">
        <v>168</v>
      </c>
      <c r="M260" s="6" t="s">
        <v>15</v>
      </c>
      <c r="N260" s="6" t="s">
        <v>18</v>
      </c>
    </row>
    <row r="261" spans="1:14" x14ac:dyDescent="0.25">
      <c r="A261" s="6" t="s">
        <v>224</v>
      </c>
      <c r="B261" s="6" t="s">
        <v>11</v>
      </c>
      <c r="C261" s="9">
        <v>45420</v>
      </c>
      <c r="D261" s="6" t="s">
        <v>53</v>
      </c>
      <c r="E261" s="6" t="s">
        <v>58</v>
      </c>
      <c r="F261" s="7">
        <v>2414</v>
      </c>
      <c r="G261" s="7">
        <v>220</v>
      </c>
      <c r="H261" s="7">
        <v>280</v>
      </c>
      <c r="I261" s="7">
        <v>27355</v>
      </c>
      <c r="J261" s="11">
        <v>0.10652531529884847</v>
      </c>
      <c r="K261" s="7">
        <v>50562</v>
      </c>
      <c r="L261" s="7">
        <v>258</v>
      </c>
      <c r="M261" s="6" t="s">
        <v>15</v>
      </c>
      <c r="N261" s="6" t="s">
        <v>18</v>
      </c>
    </row>
    <row r="262" spans="1:14" x14ac:dyDescent="0.25">
      <c r="A262" s="6" t="s">
        <v>225</v>
      </c>
      <c r="B262" s="6" t="s">
        <v>11</v>
      </c>
      <c r="C262" s="9">
        <v>45387</v>
      </c>
      <c r="D262" s="6" t="s">
        <v>48</v>
      </c>
      <c r="E262" s="6" t="s">
        <v>54</v>
      </c>
      <c r="F262" s="7">
        <v>4383</v>
      </c>
      <c r="G262" s="7">
        <v>352</v>
      </c>
      <c r="H262" s="7">
        <v>176</v>
      </c>
      <c r="I262" s="7">
        <v>53239</v>
      </c>
      <c r="J262" s="11">
        <v>9.2244407295403744E-2</v>
      </c>
      <c r="K262" s="7">
        <v>34168</v>
      </c>
      <c r="L262" s="7">
        <v>288</v>
      </c>
      <c r="M262" s="6" t="s">
        <v>23</v>
      </c>
      <c r="N262" s="6" t="s">
        <v>26</v>
      </c>
    </row>
    <row r="263" spans="1:14" x14ac:dyDescent="0.25">
      <c r="A263" s="6" t="s">
        <v>226</v>
      </c>
      <c r="B263" s="6" t="s">
        <v>12</v>
      </c>
      <c r="C263" s="9">
        <v>45684</v>
      </c>
      <c r="D263" s="6" t="s">
        <v>48</v>
      </c>
      <c r="E263" s="6" t="s">
        <v>56</v>
      </c>
      <c r="F263" s="7">
        <v>4294</v>
      </c>
      <c r="G263" s="7">
        <v>423</v>
      </c>
      <c r="H263" s="7">
        <v>93</v>
      </c>
      <c r="I263" s="7">
        <v>29828</v>
      </c>
      <c r="J263" s="11">
        <v>0.1612578785034196</v>
      </c>
      <c r="K263" s="7">
        <v>73144</v>
      </c>
      <c r="L263" s="7">
        <v>298</v>
      </c>
      <c r="M263" s="6" t="s">
        <v>23</v>
      </c>
      <c r="N263" s="6" t="s">
        <v>26</v>
      </c>
    </row>
    <row r="264" spans="1:14" x14ac:dyDescent="0.25">
      <c r="A264" s="6" t="s">
        <v>226</v>
      </c>
      <c r="B264" s="6" t="s">
        <v>12</v>
      </c>
      <c r="C264" s="9">
        <v>45684</v>
      </c>
      <c r="D264" s="6" t="s">
        <v>48</v>
      </c>
      <c r="E264" s="6" t="s">
        <v>56</v>
      </c>
      <c r="F264" s="7">
        <v>4294</v>
      </c>
      <c r="G264" s="7">
        <v>423</v>
      </c>
      <c r="H264" s="7">
        <v>93</v>
      </c>
      <c r="I264" s="7">
        <v>29828</v>
      </c>
      <c r="J264" s="11">
        <v>0.1612578785034196</v>
      </c>
      <c r="K264" s="7">
        <v>73144</v>
      </c>
      <c r="L264" s="7">
        <v>298</v>
      </c>
      <c r="M264" s="6" t="s">
        <v>23</v>
      </c>
      <c r="N264" s="6" t="s">
        <v>13</v>
      </c>
    </row>
    <row r="265" spans="1:14" x14ac:dyDescent="0.25">
      <c r="A265" s="6" t="s">
        <v>227</v>
      </c>
      <c r="B265" s="6" t="s">
        <v>11</v>
      </c>
      <c r="C265" s="9">
        <v>45385</v>
      </c>
      <c r="D265" s="6" t="s">
        <v>48</v>
      </c>
      <c r="E265" s="6" t="s">
        <v>65</v>
      </c>
      <c r="F265" s="7">
        <v>2762</v>
      </c>
      <c r="G265" s="7">
        <v>339</v>
      </c>
      <c r="H265" s="7">
        <v>323</v>
      </c>
      <c r="I265" s="7">
        <v>33757</v>
      </c>
      <c r="J265" s="11">
        <v>0.10143081434961637</v>
      </c>
      <c r="K265" s="7">
        <v>68511</v>
      </c>
      <c r="L265" s="7">
        <v>121</v>
      </c>
      <c r="M265" s="6" t="s">
        <v>19</v>
      </c>
      <c r="N265" s="6" t="s">
        <v>22</v>
      </c>
    </row>
    <row r="266" spans="1:14" x14ac:dyDescent="0.25">
      <c r="A266" s="6" t="s">
        <v>227</v>
      </c>
      <c r="B266" s="6" t="s">
        <v>11</v>
      </c>
      <c r="C266" s="9">
        <v>45385</v>
      </c>
      <c r="D266" s="6" t="s">
        <v>48</v>
      </c>
      <c r="E266" s="6" t="s">
        <v>65</v>
      </c>
      <c r="F266" s="7">
        <v>2762</v>
      </c>
      <c r="G266" s="7">
        <v>339</v>
      </c>
      <c r="H266" s="7">
        <v>323</v>
      </c>
      <c r="I266" s="7">
        <v>33757</v>
      </c>
      <c r="J266" s="11">
        <v>0.10143081434961637</v>
      </c>
      <c r="K266" s="7">
        <v>68511</v>
      </c>
      <c r="L266" s="7">
        <v>121</v>
      </c>
      <c r="M266" s="6" t="s">
        <v>19</v>
      </c>
      <c r="N266" s="6" t="s">
        <v>18</v>
      </c>
    </row>
    <row r="267" spans="1:14" x14ac:dyDescent="0.25">
      <c r="A267" s="6" t="s">
        <v>228</v>
      </c>
      <c r="B267" s="6" t="s">
        <v>12</v>
      </c>
      <c r="C267" s="9">
        <v>45660</v>
      </c>
      <c r="D267" s="6" t="s">
        <v>48</v>
      </c>
      <c r="E267" s="6" t="s">
        <v>54</v>
      </c>
      <c r="F267" s="7">
        <v>3782</v>
      </c>
      <c r="G267" s="7">
        <v>484</v>
      </c>
      <c r="H267" s="7">
        <v>144</v>
      </c>
      <c r="I267" s="7">
        <v>52172</v>
      </c>
      <c r="J267" s="11">
        <v>8.4528099363643333E-2</v>
      </c>
      <c r="K267" s="7">
        <v>59386</v>
      </c>
      <c r="L267" s="7">
        <v>175</v>
      </c>
      <c r="M267" s="6" t="s">
        <v>23</v>
      </c>
      <c r="N267" s="6" t="s">
        <v>26</v>
      </c>
    </row>
    <row r="268" spans="1:14" x14ac:dyDescent="0.25">
      <c r="A268" s="6" t="s">
        <v>228</v>
      </c>
      <c r="B268" s="6" t="s">
        <v>12</v>
      </c>
      <c r="C268" s="9">
        <v>45660</v>
      </c>
      <c r="D268" s="6" t="s">
        <v>48</v>
      </c>
      <c r="E268" s="6" t="s">
        <v>54</v>
      </c>
      <c r="F268" s="7">
        <v>3782</v>
      </c>
      <c r="G268" s="7">
        <v>484</v>
      </c>
      <c r="H268" s="7">
        <v>144</v>
      </c>
      <c r="I268" s="7">
        <v>52172</v>
      </c>
      <c r="J268" s="11">
        <v>8.4528099363643333E-2</v>
      </c>
      <c r="K268" s="7">
        <v>59386</v>
      </c>
      <c r="L268" s="7">
        <v>175</v>
      </c>
      <c r="M268" s="6" t="s">
        <v>23</v>
      </c>
      <c r="N268" s="6" t="s">
        <v>13</v>
      </c>
    </row>
    <row r="269" spans="1:14" x14ac:dyDescent="0.25">
      <c r="A269" s="6" t="s">
        <v>229</v>
      </c>
      <c r="B269" s="6" t="s">
        <v>17</v>
      </c>
      <c r="C269" s="9">
        <v>45619</v>
      </c>
      <c r="D269" s="6" t="s">
        <v>48</v>
      </c>
      <c r="E269" s="6" t="s">
        <v>54</v>
      </c>
      <c r="F269" s="7">
        <v>4318</v>
      </c>
      <c r="G269" s="7">
        <v>371</v>
      </c>
      <c r="H269" s="7">
        <v>329</v>
      </c>
      <c r="I269" s="7">
        <v>32347</v>
      </c>
      <c r="J269" s="11">
        <v>0.15513030574705536</v>
      </c>
      <c r="K269" s="7">
        <v>68956</v>
      </c>
      <c r="L269" s="7">
        <v>259</v>
      </c>
      <c r="M269" s="6" t="s">
        <v>23</v>
      </c>
      <c r="N269" s="6" t="s">
        <v>22</v>
      </c>
    </row>
    <row r="270" spans="1:14" x14ac:dyDescent="0.25">
      <c r="A270" s="6" t="s">
        <v>230</v>
      </c>
      <c r="B270" s="6" t="s">
        <v>11</v>
      </c>
      <c r="C270" s="9">
        <v>45536</v>
      </c>
      <c r="D270" s="6" t="s">
        <v>53</v>
      </c>
      <c r="E270" s="6" t="s">
        <v>56</v>
      </c>
      <c r="F270" s="7">
        <v>2335</v>
      </c>
      <c r="G270" s="7">
        <v>150</v>
      </c>
      <c r="H270" s="7">
        <v>75</v>
      </c>
      <c r="I270" s="7">
        <v>26114</v>
      </c>
      <c r="J270" s="11">
        <v>9.8031707130274953E-2</v>
      </c>
      <c r="K270" s="7">
        <v>57549</v>
      </c>
      <c r="L270" s="7">
        <v>135</v>
      </c>
      <c r="M270" s="6" t="s">
        <v>15</v>
      </c>
      <c r="N270" s="6" t="s">
        <v>18</v>
      </c>
    </row>
    <row r="271" spans="1:14" x14ac:dyDescent="0.25">
      <c r="A271" s="6" t="s">
        <v>231</v>
      </c>
      <c r="B271" s="6" t="s">
        <v>12</v>
      </c>
      <c r="C271" s="9">
        <v>45400</v>
      </c>
      <c r="D271" s="6" t="s">
        <v>48</v>
      </c>
      <c r="E271" s="6" t="s">
        <v>51</v>
      </c>
      <c r="F271" s="7">
        <v>4023</v>
      </c>
      <c r="G271" s="7">
        <v>293</v>
      </c>
      <c r="H271" s="7">
        <v>91</v>
      </c>
      <c r="I271" s="7">
        <v>26795</v>
      </c>
      <c r="J271" s="11">
        <v>0.16447098339242397</v>
      </c>
      <c r="K271" s="7">
        <v>28924</v>
      </c>
      <c r="L271" s="7">
        <v>278</v>
      </c>
      <c r="M271" s="6" t="s">
        <v>23</v>
      </c>
      <c r="N271" s="6" t="s">
        <v>26</v>
      </c>
    </row>
    <row r="272" spans="1:14" x14ac:dyDescent="0.25">
      <c r="A272" s="6" t="s">
        <v>231</v>
      </c>
      <c r="B272" s="6" t="s">
        <v>12</v>
      </c>
      <c r="C272" s="9">
        <v>45400</v>
      </c>
      <c r="D272" s="6" t="s">
        <v>48</v>
      </c>
      <c r="E272" s="6" t="s">
        <v>51</v>
      </c>
      <c r="F272" s="7">
        <v>4023</v>
      </c>
      <c r="G272" s="7">
        <v>293</v>
      </c>
      <c r="H272" s="7">
        <v>91</v>
      </c>
      <c r="I272" s="7">
        <v>26795</v>
      </c>
      <c r="J272" s="11">
        <v>0.16447098339242397</v>
      </c>
      <c r="K272" s="7">
        <v>28924</v>
      </c>
      <c r="L272" s="7">
        <v>278</v>
      </c>
      <c r="M272" s="6" t="s">
        <v>23</v>
      </c>
      <c r="N272" s="6" t="s">
        <v>13</v>
      </c>
    </row>
    <row r="273" spans="1:14" x14ac:dyDescent="0.25">
      <c r="A273" s="6" t="s">
        <v>232</v>
      </c>
      <c r="B273" s="6" t="s">
        <v>11</v>
      </c>
      <c r="C273" s="9">
        <v>45447</v>
      </c>
      <c r="D273" s="6" t="s">
        <v>48</v>
      </c>
      <c r="E273" s="6" t="s">
        <v>62</v>
      </c>
      <c r="F273" s="7">
        <v>3948</v>
      </c>
      <c r="G273" s="7">
        <v>151</v>
      </c>
      <c r="H273" s="7">
        <v>249</v>
      </c>
      <c r="I273" s="7">
        <v>43147</v>
      </c>
      <c r="J273" s="11">
        <v>0.10077178019329269</v>
      </c>
      <c r="K273" s="7">
        <v>63136</v>
      </c>
      <c r="L273" s="7">
        <v>230</v>
      </c>
      <c r="M273" s="6" t="s">
        <v>23</v>
      </c>
      <c r="N273" s="6" t="s">
        <v>26</v>
      </c>
    </row>
    <row r="274" spans="1:14" x14ac:dyDescent="0.25">
      <c r="A274" s="6" t="s">
        <v>233</v>
      </c>
      <c r="B274" s="6" t="s">
        <v>12</v>
      </c>
      <c r="C274" s="9">
        <v>45749</v>
      </c>
      <c r="D274" s="6" t="s">
        <v>48</v>
      </c>
      <c r="E274" s="6" t="s">
        <v>56</v>
      </c>
      <c r="F274" s="7">
        <v>4598</v>
      </c>
      <c r="G274" s="7">
        <v>455</v>
      </c>
      <c r="H274" s="7">
        <v>378</v>
      </c>
      <c r="I274" s="7">
        <v>52952</v>
      </c>
      <c r="J274" s="11">
        <v>0.10256458679558846</v>
      </c>
      <c r="K274" s="7">
        <v>58504</v>
      </c>
      <c r="L274" s="7">
        <v>269</v>
      </c>
      <c r="M274" s="6" t="s">
        <v>23</v>
      </c>
      <c r="N274" s="6" t="s">
        <v>26</v>
      </c>
    </row>
    <row r="275" spans="1:14" x14ac:dyDescent="0.25">
      <c r="A275" s="6" t="s">
        <v>233</v>
      </c>
      <c r="B275" s="6" t="s">
        <v>12</v>
      </c>
      <c r="C275" s="9">
        <v>45749</v>
      </c>
      <c r="D275" s="6" t="s">
        <v>48</v>
      </c>
      <c r="E275" s="6" t="s">
        <v>56</v>
      </c>
      <c r="F275" s="7">
        <v>4598</v>
      </c>
      <c r="G275" s="7">
        <v>455</v>
      </c>
      <c r="H275" s="7">
        <v>378</v>
      </c>
      <c r="I275" s="7">
        <v>52952</v>
      </c>
      <c r="J275" s="11">
        <v>0.10256458679558846</v>
      </c>
      <c r="K275" s="7">
        <v>58504</v>
      </c>
      <c r="L275" s="7">
        <v>269</v>
      </c>
      <c r="M275" s="6" t="s">
        <v>23</v>
      </c>
      <c r="N275" s="6" t="s">
        <v>13</v>
      </c>
    </row>
    <row r="276" spans="1:14" x14ac:dyDescent="0.25">
      <c r="A276" s="6" t="s">
        <v>234</v>
      </c>
      <c r="B276" s="6" t="s">
        <v>17</v>
      </c>
      <c r="C276" s="9">
        <v>45748</v>
      </c>
      <c r="D276" s="6" t="s">
        <v>53</v>
      </c>
      <c r="E276" s="6" t="s">
        <v>58</v>
      </c>
      <c r="F276" s="7">
        <v>2665</v>
      </c>
      <c r="G276" s="7">
        <v>143</v>
      </c>
      <c r="H276" s="7">
        <v>315</v>
      </c>
      <c r="I276" s="7">
        <v>54808</v>
      </c>
      <c r="J276" s="11">
        <v>5.6980732739746021E-2</v>
      </c>
      <c r="K276" s="7">
        <v>29818</v>
      </c>
      <c r="L276" s="7">
        <v>98</v>
      </c>
      <c r="M276" s="6" t="s">
        <v>19</v>
      </c>
      <c r="N276" s="6" t="s">
        <v>26</v>
      </c>
    </row>
    <row r="277" spans="1:14" x14ac:dyDescent="0.25">
      <c r="A277" s="6" t="s">
        <v>234</v>
      </c>
      <c r="B277" s="6" t="s">
        <v>17</v>
      </c>
      <c r="C277" s="9">
        <v>45748</v>
      </c>
      <c r="D277" s="6" t="s">
        <v>53</v>
      </c>
      <c r="E277" s="6" t="s">
        <v>58</v>
      </c>
      <c r="F277" s="7">
        <v>2665</v>
      </c>
      <c r="G277" s="7">
        <v>143</v>
      </c>
      <c r="H277" s="7">
        <v>315</v>
      </c>
      <c r="I277" s="7">
        <v>54808</v>
      </c>
      <c r="J277" s="11">
        <v>5.6980732739746021E-2</v>
      </c>
      <c r="K277" s="7">
        <v>29818</v>
      </c>
      <c r="L277" s="7">
        <v>98</v>
      </c>
      <c r="M277" s="6" t="s">
        <v>19</v>
      </c>
      <c r="N277" s="6" t="s">
        <v>14</v>
      </c>
    </row>
    <row r="278" spans="1:14" x14ac:dyDescent="0.25">
      <c r="A278" s="6" t="s">
        <v>235</v>
      </c>
      <c r="B278" s="6" t="s">
        <v>11</v>
      </c>
      <c r="C278" s="9">
        <v>45475</v>
      </c>
      <c r="D278" s="6" t="s">
        <v>48</v>
      </c>
      <c r="E278" s="6" t="s">
        <v>65</v>
      </c>
      <c r="F278" s="7">
        <v>3469</v>
      </c>
      <c r="G278" s="7">
        <v>371</v>
      </c>
      <c r="H278" s="7">
        <v>76</v>
      </c>
      <c r="I278" s="7">
        <v>46493</v>
      </c>
      <c r="J278" s="11">
        <v>8.4227733207149463E-2</v>
      </c>
      <c r="K278" s="7">
        <v>26906</v>
      </c>
      <c r="L278" s="7">
        <v>150</v>
      </c>
      <c r="M278" s="6" t="s">
        <v>19</v>
      </c>
      <c r="N278" s="6" t="s">
        <v>22</v>
      </c>
    </row>
    <row r="279" spans="1:14" x14ac:dyDescent="0.25">
      <c r="A279" s="6" t="s">
        <v>235</v>
      </c>
      <c r="B279" s="6" t="s">
        <v>11</v>
      </c>
      <c r="C279" s="9">
        <v>45475</v>
      </c>
      <c r="D279" s="6" t="s">
        <v>48</v>
      </c>
      <c r="E279" s="6" t="s">
        <v>65</v>
      </c>
      <c r="F279" s="7">
        <v>3469</v>
      </c>
      <c r="G279" s="7">
        <v>371</v>
      </c>
      <c r="H279" s="7">
        <v>76</v>
      </c>
      <c r="I279" s="7">
        <v>46493</v>
      </c>
      <c r="J279" s="11">
        <v>8.4227733207149463E-2</v>
      </c>
      <c r="K279" s="7">
        <v>26906</v>
      </c>
      <c r="L279" s="7">
        <v>150</v>
      </c>
      <c r="M279" s="6" t="s">
        <v>19</v>
      </c>
      <c r="N279" s="6" t="s">
        <v>18</v>
      </c>
    </row>
    <row r="280" spans="1:14" x14ac:dyDescent="0.25">
      <c r="A280" s="6" t="s">
        <v>236</v>
      </c>
      <c r="B280" s="6" t="s">
        <v>17</v>
      </c>
      <c r="C280" s="9">
        <v>45606</v>
      </c>
      <c r="D280" s="6" t="s">
        <v>48</v>
      </c>
      <c r="E280" s="6" t="s">
        <v>51</v>
      </c>
      <c r="F280" s="7">
        <v>4823</v>
      </c>
      <c r="G280" s="7">
        <v>489</v>
      </c>
      <c r="H280" s="7">
        <v>302</v>
      </c>
      <c r="I280" s="7">
        <v>32470</v>
      </c>
      <c r="J280" s="11">
        <v>0.1728980597474592</v>
      </c>
      <c r="K280" s="7">
        <v>31861</v>
      </c>
      <c r="L280" s="7">
        <v>178</v>
      </c>
      <c r="M280" s="6" t="s">
        <v>23</v>
      </c>
      <c r="N280" s="6" t="s">
        <v>22</v>
      </c>
    </row>
    <row r="281" spans="1:14" x14ac:dyDescent="0.25">
      <c r="A281" s="6" t="s">
        <v>237</v>
      </c>
      <c r="B281" s="6" t="s">
        <v>11</v>
      </c>
      <c r="C281" s="9">
        <v>45640</v>
      </c>
      <c r="D281" s="6" t="s">
        <v>53</v>
      </c>
      <c r="E281" s="6" t="s">
        <v>71</v>
      </c>
      <c r="F281" s="7">
        <v>3812</v>
      </c>
      <c r="G281" s="7">
        <v>321</v>
      </c>
      <c r="H281" s="7">
        <v>289</v>
      </c>
      <c r="I281" s="7">
        <v>59838</v>
      </c>
      <c r="J281" s="11">
        <v>7.3899528727564417E-2</v>
      </c>
      <c r="K281" s="7">
        <v>36337</v>
      </c>
      <c r="L281" s="7">
        <v>161</v>
      </c>
      <c r="M281" s="6" t="s">
        <v>15</v>
      </c>
      <c r="N281" s="6" t="s">
        <v>18</v>
      </c>
    </row>
    <row r="282" spans="1:14" x14ac:dyDescent="0.25">
      <c r="A282" s="6" t="s">
        <v>238</v>
      </c>
      <c r="B282" s="6" t="s">
        <v>17</v>
      </c>
      <c r="C282" s="9">
        <v>45615</v>
      </c>
      <c r="D282" s="6" t="s">
        <v>48</v>
      </c>
      <c r="E282" s="6" t="s">
        <v>51</v>
      </c>
      <c r="F282" s="7">
        <v>2387</v>
      </c>
      <c r="G282" s="7">
        <v>353</v>
      </c>
      <c r="H282" s="7">
        <v>78</v>
      </c>
      <c r="I282" s="7">
        <v>39745</v>
      </c>
      <c r="J282" s="11">
        <v>7.090200025160398E-2</v>
      </c>
      <c r="K282" s="7">
        <v>69226</v>
      </c>
      <c r="L282" s="7">
        <v>208</v>
      </c>
      <c r="M282" s="6" t="s">
        <v>23</v>
      </c>
      <c r="N282" s="6" t="s">
        <v>22</v>
      </c>
    </row>
    <row r="283" spans="1:14" x14ac:dyDescent="0.25">
      <c r="A283" s="6" t="s">
        <v>239</v>
      </c>
      <c r="B283" s="6" t="s">
        <v>17</v>
      </c>
      <c r="C283" s="9">
        <v>45777</v>
      </c>
      <c r="D283" s="6" t="s">
        <v>53</v>
      </c>
      <c r="E283" s="6" t="s">
        <v>56</v>
      </c>
      <c r="F283" s="7">
        <v>3929</v>
      </c>
      <c r="G283" s="7">
        <v>275</v>
      </c>
      <c r="H283" s="7">
        <v>330</v>
      </c>
      <c r="I283" s="7">
        <v>58329</v>
      </c>
      <c r="J283" s="11">
        <v>7.7731488624869283E-2</v>
      </c>
      <c r="K283" s="7">
        <v>33196</v>
      </c>
      <c r="L283" s="7">
        <v>85</v>
      </c>
      <c r="M283" s="6" t="s">
        <v>19</v>
      </c>
      <c r="N283" s="6" t="s">
        <v>14</v>
      </c>
    </row>
    <row r="284" spans="1:14" x14ac:dyDescent="0.25">
      <c r="A284" s="6" t="s">
        <v>239</v>
      </c>
      <c r="B284" s="6" t="s">
        <v>17</v>
      </c>
      <c r="C284" s="9">
        <v>45777</v>
      </c>
      <c r="D284" s="6" t="s">
        <v>53</v>
      </c>
      <c r="E284" s="6" t="s">
        <v>56</v>
      </c>
      <c r="F284" s="7">
        <v>3929</v>
      </c>
      <c r="G284" s="7">
        <v>275</v>
      </c>
      <c r="H284" s="7">
        <v>330</v>
      </c>
      <c r="I284" s="7">
        <v>58329</v>
      </c>
      <c r="J284" s="11">
        <v>7.7731488624869283E-2</v>
      </c>
      <c r="K284" s="7">
        <v>33196</v>
      </c>
      <c r="L284" s="7">
        <v>85</v>
      </c>
      <c r="M284" s="6" t="s">
        <v>19</v>
      </c>
      <c r="N284" s="6" t="s">
        <v>18</v>
      </c>
    </row>
    <row r="285" spans="1:14" x14ac:dyDescent="0.25">
      <c r="A285" s="6" t="s">
        <v>240</v>
      </c>
      <c r="B285" s="6" t="s">
        <v>17</v>
      </c>
      <c r="C285" s="9">
        <v>45370</v>
      </c>
      <c r="D285" s="6" t="s">
        <v>48</v>
      </c>
      <c r="E285" s="6" t="s">
        <v>71</v>
      </c>
      <c r="F285" s="7">
        <v>2191</v>
      </c>
      <c r="G285" s="7">
        <v>288</v>
      </c>
      <c r="H285" s="7">
        <v>83</v>
      </c>
      <c r="I285" s="7">
        <v>59606</v>
      </c>
      <c r="J285" s="11">
        <v>4.2982250109049422E-2</v>
      </c>
      <c r="K285" s="7">
        <v>24765</v>
      </c>
      <c r="L285" s="7">
        <v>281</v>
      </c>
      <c r="M285" s="6" t="s">
        <v>23</v>
      </c>
      <c r="N285" s="6" t="s">
        <v>22</v>
      </c>
    </row>
    <row r="286" spans="1:14" x14ac:dyDescent="0.25">
      <c r="A286" s="6" t="s">
        <v>241</v>
      </c>
      <c r="B286" s="6" t="s">
        <v>11</v>
      </c>
      <c r="C286" s="9">
        <v>45370</v>
      </c>
      <c r="D286" s="6" t="s">
        <v>48</v>
      </c>
      <c r="E286" s="6" t="s">
        <v>71</v>
      </c>
      <c r="F286" s="7">
        <v>2878</v>
      </c>
      <c r="G286" s="7">
        <v>278</v>
      </c>
      <c r="H286" s="7">
        <v>255</v>
      </c>
      <c r="I286" s="7">
        <v>47235</v>
      </c>
      <c r="J286" s="11">
        <v>7.2213401079707848E-2</v>
      </c>
      <c r="K286" s="7">
        <v>57922</v>
      </c>
      <c r="L286" s="7">
        <v>112</v>
      </c>
      <c r="M286" s="6" t="s">
        <v>19</v>
      </c>
      <c r="N286" s="6" t="s">
        <v>22</v>
      </c>
    </row>
    <row r="287" spans="1:14" x14ac:dyDescent="0.25">
      <c r="A287" s="6" t="s">
        <v>241</v>
      </c>
      <c r="B287" s="6" t="s">
        <v>11</v>
      </c>
      <c r="C287" s="9">
        <v>45370</v>
      </c>
      <c r="D287" s="6" t="s">
        <v>48</v>
      </c>
      <c r="E287" s="6" t="s">
        <v>71</v>
      </c>
      <c r="F287" s="7">
        <v>2878</v>
      </c>
      <c r="G287" s="7">
        <v>278</v>
      </c>
      <c r="H287" s="7">
        <v>255</v>
      </c>
      <c r="I287" s="7">
        <v>47235</v>
      </c>
      <c r="J287" s="11">
        <v>7.2213401079707848E-2</v>
      </c>
      <c r="K287" s="7">
        <v>57922</v>
      </c>
      <c r="L287" s="7">
        <v>112</v>
      </c>
      <c r="M287" s="6" t="s">
        <v>19</v>
      </c>
      <c r="N287" s="6" t="s">
        <v>18</v>
      </c>
    </row>
    <row r="288" spans="1:14" x14ac:dyDescent="0.25">
      <c r="A288" s="6" t="s">
        <v>242</v>
      </c>
      <c r="B288" s="6" t="s">
        <v>17</v>
      </c>
      <c r="C288" s="9">
        <v>45496</v>
      </c>
      <c r="D288" s="6" t="s">
        <v>48</v>
      </c>
      <c r="E288" s="6" t="s">
        <v>65</v>
      </c>
      <c r="F288" s="7">
        <v>3204</v>
      </c>
      <c r="G288" s="7">
        <v>398</v>
      </c>
      <c r="H288" s="7">
        <v>85</v>
      </c>
      <c r="I288" s="7">
        <v>22020</v>
      </c>
      <c r="J288" s="11">
        <v>0.16743869209809265</v>
      </c>
      <c r="K288" s="7">
        <v>58353</v>
      </c>
      <c r="L288" s="7">
        <v>286</v>
      </c>
      <c r="M288" s="6" t="s">
        <v>23</v>
      </c>
      <c r="N288" s="6" t="s">
        <v>22</v>
      </c>
    </row>
    <row r="289" spans="1:14" x14ac:dyDescent="0.25">
      <c r="A289" s="6" t="s">
        <v>243</v>
      </c>
      <c r="B289" s="6" t="s">
        <v>17</v>
      </c>
      <c r="C289" s="9">
        <v>45486</v>
      </c>
      <c r="D289" s="6" t="s">
        <v>53</v>
      </c>
      <c r="E289" s="6" t="s">
        <v>62</v>
      </c>
      <c r="F289" s="7">
        <v>2408</v>
      </c>
      <c r="G289" s="7">
        <v>323</v>
      </c>
      <c r="H289" s="7">
        <v>251</v>
      </c>
      <c r="I289" s="7">
        <v>47599</v>
      </c>
      <c r="J289" s="11">
        <v>6.2648374965860634E-2</v>
      </c>
      <c r="K289" s="7">
        <v>35543</v>
      </c>
      <c r="L289" s="7">
        <v>287</v>
      </c>
      <c r="M289" s="6" t="s">
        <v>19</v>
      </c>
      <c r="N289" s="6" t="s">
        <v>14</v>
      </c>
    </row>
    <row r="290" spans="1:14" x14ac:dyDescent="0.25">
      <c r="A290" s="6" t="s">
        <v>243</v>
      </c>
      <c r="B290" s="6" t="s">
        <v>17</v>
      </c>
      <c r="C290" s="9">
        <v>45486</v>
      </c>
      <c r="D290" s="6" t="s">
        <v>53</v>
      </c>
      <c r="E290" s="6" t="s">
        <v>62</v>
      </c>
      <c r="F290" s="7">
        <v>2408</v>
      </c>
      <c r="G290" s="7">
        <v>323</v>
      </c>
      <c r="H290" s="7">
        <v>251</v>
      </c>
      <c r="I290" s="7">
        <v>47599</v>
      </c>
      <c r="J290" s="11">
        <v>6.2648374965860634E-2</v>
      </c>
      <c r="K290" s="7">
        <v>35543</v>
      </c>
      <c r="L290" s="7">
        <v>287</v>
      </c>
      <c r="M290" s="6" t="s">
        <v>19</v>
      </c>
      <c r="N290" s="6" t="s">
        <v>18</v>
      </c>
    </row>
    <row r="291" spans="1:14" x14ac:dyDescent="0.25">
      <c r="A291" s="6" t="s">
        <v>244</v>
      </c>
      <c r="B291" s="6" t="s">
        <v>12</v>
      </c>
      <c r="C291" s="9">
        <v>45769</v>
      </c>
      <c r="D291" s="6" t="s">
        <v>78</v>
      </c>
      <c r="E291" s="6" t="s">
        <v>54</v>
      </c>
      <c r="F291" s="7">
        <v>2733</v>
      </c>
      <c r="G291" s="7">
        <v>297</v>
      </c>
      <c r="H291" s="7">
        <v>235</v>
      </c>
      <c r="I291" s="7">
        <v>37980</v>
      </c>
      <c r="J291" s="11">
        <v>8.5966298051606105E-2</v>
      </c>
      <c r="K291" s="7">
        <v>33058</v>
      </c>
      <c r="L291" s="7">
        <v>219</v>
      </c>
      <c r="M291" s="6" t="s">
        <v>9</v>
      </c>
      <c r="N291" s="6" t="s">
        <v>26</v>
      </c>
    </row>
    <row r="292" spans="1:14" x14ac:dyDescent="0.25">
      <c r="A292" s="6" t="s">
        <v>244</v>
      </c>
      <c r="B292" s="6" t="s">
        <v>12</v>
      </c>
      <c r="C292" s="9">
        <v>45769</v>
      </c>
      <c r="D292" s="6" t="s">
        <v>78</v>
      </c>
      <c r="E292" s="6" t="s">
        <v>54</v>
      </c>
      <c r="F292" s="7">
        <v>2733</v>
      </c>
      <c r="G292" s="7">
        <v>297</v>
      </c>
      <c r="H292" s="7">
        <v>235</v>
      </c>
      <c r="I292" s="7">
        <v>37980</v>
      </c>
      <c r="J292" s="11">
        <v>8.5966298051606105E-2</v>
      </c>
      <c r="K292" s="7">
        <v>33058</v>
      </c>
      <c r="L292" s="7">
        <v>219</v>
      </c>
      <c r="M292" s="6" t="s">
        <v>9</v>
      </c>
      <c r="N292" s="6" t="s">
        <v>22</v>
      </c>
    </row>
    <row r="293" spans="1:14" x14ac:dyDescent="0.25">
      <c r="A293" s="6" t="s">
        <v>245</v>
      </c>
      <c r="B293" s="6" t="s">
        <v>17</v>
      </c>
      <c r="C293" s="9">
        <v>45459</v>
      </c>
      <c r="D293" s="6" t="s">
        <v>53</v>
      </c>
      <c r="E293" s="6" t="s">
        <v>51</v>
      </c>
      <c r="F293" s="7">
        <v>4618</v>
      </c>
      <c r="G293" s="7">
        <v>312</v>
      </c>
      <c r="H293" s="7">
        <v>254</v>
      </c>
      <c r="I293" s="7">
        <v>22571</v>
      </c>
      <c r="J293" s="11">
        <v>0.22967524699836073</v>
      </c>
      <c r="K293" s="7">
        <v>29453</v>
      </c>
      <c r="L293" s="7">
        <v>197</v>
      </c>
      <c r="M293" s="6" t="s">
        <v>19</v>
      </c>
      <c r="N293" s="6" t="s">
        <v>14</v>
      </c>
    </row>
    <row r="294" spans="1:14" x14ac:dyDescent="0.25">
      <c r="A294" s="6" t="s">
        <v>245</v>
      </c>
      <c r="B294" s="6" t="s">
        <v>17</v>
      </c>
      <c r="C294" s="9">
        <v>45459</v>
      </c>
      <c r="D294" s="6" t="s">
        <v>53</v>
      </c>
      <c r="E294" s="6" t="s">
        <v>51</v>
      </c>
      <c r="F294" s="7">
        <v>4618</v>
      </c>
      <c r="G294" s="7">
        <v>312</v>
      </c>
      <c r="H294" s="7">
        <v>254</v>
      </c>
      <c r="I294" s="7">
        <v>22571</v>
      </c>
      <c r="J294" s="11">
        <v>0.22967524699836073</v>
      </c>
      <c r="K294" s="7">
        <v>29453</v>
      </c>
      <c r="L294" s="7">
        <v>197</v>
      </c>
      <c r="M294" s="6" t="s">
        <v>19</v>
      </c>
      <c r="N294" s="6" t="s">
        <v>18</v>
      </c>
    </row>
    <row r="295" spans="1:14" x14ac:dyDescent="0.25">
      <c r="A295" s="6" t="s">
        <v>246</v>
      </c>
      <c r="B295" s="6" t="s">
        <v>12</v>
      </c>
      <c r="C295" s="9">
        <v>45795</v>
      </c>
      <c r="D295" s="6" t="s">
        <v>78</v>
      </c>
      <c r="E295" s="6" t="s">
        <v>56</v>
      </c>
      <c r="F295" s="7">
        <v>4210</v>
      </c>
      <c r="G295" s="7">
        <v>319</v>
      </c>
      <c r="H295" s="7">
        <v>350</v>
      </c>
      <c r="I295" s="7">
        <v>37762</v>
      </c>
      <c r="J295" s="11">
        <v>0.12920396165457337</v>
      </c>
      <c r="K295" s="7">
        <v>55162</v>
      </c>
      <c r="L295" s="7">
        <v>204</v>
      </c>
      <c r="M295" s="6" t="s">
        <v>9</v>
      </c>
      <c r="N295" s="6" t="s">
        <v>26</v>
      </c>
    </row>
    <row r="296" spans="1:14" x14ac:dyDescent="0.25">
      <c r="A296" s="6" t="s">
        <v>246</v>
      </c>
      <c r="B296" s="6" t="s">
        <v>12</v>
      </c>
      <c r="C296" s="9">
        <v>45795</v>
      </c>
      <c r="D296" s="6" t="s">
        <v>78</v>
      </c>
      <c r="E296" s="6" t="s">
        <v>56</v>
      </c>
      <c r="F296" s="7">
        <v>4210</v>
      </c>
      <c r="G296" s="7">
        <v>319</v>
      </c>
      <c r="H296" s="7">
        <v>350</v>
      </c>
      <c r="I296" s="7">
        <v>37762</v>
      </c>
      <c r="J296" s="11">
        <v>0.12920396165457337</v>
      </c>
      <c r="K296" s="7">
        <v>55162</v>
      </c>
      <c r="L296" s="7">
        <v>204</v>
      </c>
      <c r="M296" s="6" t="s">
        <v>9</v>
      </c>
      <c r="N296" s="6" t="s">
        <v>22</v>
      </c>
    </row>
    <row r="297" spans="1:14" x14ac:dyDescent="0.25">
      <c r="A297" s="6" t="s">
        <v>247</v>
      </c>
      <c r="B297" s="6" t="s">
        <v>11</v>
      </c>
      <c r="C297" s="9">
        <v>45814</v>
      </c>
      <c r="D297" s="6" t="s">
        <v>48</v>
      </c>
      <c r="E297" s="6" t="s">
        <v>56</v>
      </c>
      <c r="F297" s="7">
        <v>3987</v>
      </c>
      <c r="G297" s="7">
        <v>171</v>
      </c>
      <c r="H297" s="7">
        <v>274</v>
      </c>
      <c r="I297" s="7">
        <v>45122</v>
      </c>
      <c r="J297" s="11">
        <v>9.8222596516111871E-2</v>
      </c>
      <c r="K297" s="7">
        <v>65431</v>
      </c>
      <c r="L297" s="7">
        <v>168</v>
      </c>
      <c r="M297" s="6" t="s">
        <v>23</v>
      </c>
      <c r="N297" s="6" t="s">
        <v>26</v>
      </c>
    </row>
    <row r="298" spans="1:14" x14ac:dyDescent="0.25">
      <c r="A298" s="6" t="s">
        <v>248</v>
      </c>
      <c r="B298" s="6" t="s">
        <v>12</v>
      </c>
      <c r="C298" s="9">
        <v>45708</v>
      </c>
      <c r="D298" s="6" t="s">
        <v>78</v>
      </c>
      <c r="E298" s="6" t="s">
        <v>62</v>
      </c>
      <c r="F298" s="7">
        <v>4957</v>
      </c>
      <c r="G298" s="7">
        <v>262</v>
      </c>
      <c r="H298" s="7">
        <v>365</v>
      </c>
      <c r="I298" s="7">
        <v>49199</v>
      </c>
      <c r="J298" s="11">
        <v>0.11349824183418362</v>
      </c>
      <c r="K298" s="7">
        <v>40314</v>
      </c>
      <c r="L298" s="7">
        <v>216</v>
      </c>
      <c r="M298" s="6" t="s">
        <v>9</v>
      </c>
      <c r="N298" s="6" t="s">
        <v>26</v>
      </c>
    </row>
    <row r="299" spans="1:14" x14ac:dyDescent="0.25">
      <c r="A299" s="6" t="s">
        <v>248</v>
      </c>
      <c r="B299" s="6" t="s">
        <v>12</v>
      </c>
      <c r="C299" s="9">
        <v>45708</v>
      </c>
      <c r="D299" s="6" t="s">
        <v>78</v>
      </c>
      <c r="E299" s="6" t="s">
        <v>62</v>
      </c>
      <c r="F299" s="7">
        <v>4957</v>
      </c>
      <c r="G299" s="7">
        <v>262</v>
      </c>
      <c r="H299" s="7">
        <v>365</v>
      </c>
      <c r="I299" s="7">
        <v>49199</v>
      </c>
      <c r="J299" s="11">
        <v>0.11349824183418362</v>
      </c>
      <c r="K299" s="7">
        <v>40314</v>
      </c>
      <c r="L299" s="7">
        <v>216</v>
      </c>
      <c r="M299" s="6" t="s">
        <v>9</v>
      </c>
      <c r="N299" s="6" t="s">
        <v>22</v>
      </c>
    </row>
    <row r="300" spans="1:14" x14ac:dyDescent="0.25">
      <c r="A300" s="6" t="s">
        <v>249</v>
      </c>
      <c r="B300" s="6" t="s">
        <v>11</v>
      </c>
      <c r="C300" s="9">
        <v>45673</v>
      </c>
      <c r="D300" s="6" t="s">
        <v>48</v>
      </c>
      <c r="E300" s="6" t="s">
        <v>58</v>
      </c>
      <c r="F300" s="7">
        <v>2605</v>
      </c>
      <c r="G300" s="7">
        <v>282</v>
      </c>
      <c r="H300" s="7">
        <v>148</v>
      </c>
      <c r="I300" s="7">
        <v>32201</v>
      </c>
      <c r="J300" s="11">
        <v>9.4251731312692155E-2</v>
      </c>
      <c r="K300" s="7">
        <v>49583</v>
      </c>
      <c r="L300" s="7">
        <v>241</v>
      </c>
      <c r="M300" s="6" t="s">
        <v>19</v>
      </c>
      <c r="N300" s="6" t="s">
        <v>22</v>
      </c>
    </row>
    <row r="301" spans="1:14" x14ac:dyDescent="0.25">
      <c r="A301" s="6" t="s">
        <v>249</v>
      </c>
      <c r="B301" s="6" t="s">
        <v>11</v>
      </c>
      <c r="C301" s="9">
        <v>45673</v>
      </c>
      <c r="D301" s="6" t="s">
        <v>48</v>
      </c>
      <c r="E301" s="6" t="s">
        <v>58</v>
      </c>
      <c r="F301" s="7">
        <v>2605</v>
      </c>
      <c r="G301" s="7">
        <v>282</v>
      </c>
      <c r="H301" s="7">
        <v>148</v>
      </c>
      <c r="I301" s="7">
        <v>32201</v>
      </c>
      <c r="J301" s="11">
        <v>9.4251731312692155E-2</v>
      </c>
      <c r="K301" s="7">
        <v>49583</v>
      </c>
      <c r="L301" s="7">
        <v>241</v>
      </c>
      <c r="M301" s="6" t="s">
        <v>19</v>
      </c>
      <c r="N301" s="6" t="s">
        <v>18</v>
      </c>
    </row>
    <row r="302" spans="1:14" x14ac:dyDescent="0.25">
      <c r="A302" s="6" t="s">
        <v>250</v>
      </c>
      <c r="B302" s="6" t="s">
        <v>12</v>
      </c>
      <c r="C302" s="9">
        <v>45346</v>
      </c>
      <c r="D302" s="6" t="s">
        <v>78</v>
      </c>
      <c r="E302" s="6" t="s">
        <v>49</v>
      </c>
      <c r="F302" s="7">
        <v>4221</v>
      </c>
      <c r="G302" s="7">
        <v>307</v>
      </c>
      <c r="H302" s="7">
        <v>58</v>
      </c>
      <c r="I302" s="7">
        <v>45080</v>
      </c>
      <c r="J302" s="11">
        <v>0.10173025732031943</v>
      </c>
      <c r="K302" s="7">
        <v>37214</v>
      </c>
      <c r="L302" s="7">
        <v>240</v>
      </c>
      <c r="M302" s="6" t="s">
        <v>9</v>
      </c>
      <c r="N302" s="6" t="s">
        <v>26</v>
      </c>
    </row>
    <row r="303" spans="1:14" x14ac:dyDescent="0.25">
      <c r="A303" s="6" t="s">
        <v>250</v>
      </c>
      <c r="B303" s="6" t="s">
        <v>12</v>
      </c>
      <c r="C303" s="9">
        <v>45346</v>
      </c>
      <c r="D303" s="6" t="s">
        <v>78</v>
      </c>
      <c r="E303" s="6" t="s">
        <v>49</v>
      </c>
      <c r="F303" s="7">
        <v>4221</v>
      </c>
      <c r="G303" s="7">
        <v>307</v>
      </c>
      <c r="H303" s="7">
        <v>58</v>
      </c>
      <c r="I303" s="7">
        <v>45080</v>
      </c>
      <c r="J303" s="11">
        <v>0.10173025732031943</v>
      </c>
      <c r="K303" s="7">
        <v>37214</v>
      </c>
      <c r="L303" s="7">
        <v>240</v>
      </c>
      <c r="M303" s="6" t="s">
        <v>9</v>
      </c>
      <c r="N303" s="6" t="s">
        <v>22</v>
      </c>
    </row>
    <row r="304" spans="1:14" x14ac:dyDescent="0.25">
      <c r="A304" s="6" t="s">
        <v>251</v>
      </c>
      <c r="B304" s="6" t="s">
        <v>17</v>
      </c>
      <c r="C304" s="9">
        <v>45551</v>
      </c>
      <c r="D304" s="6" t="s">
        <v>53</v>
      </c>
      <c r="E304" s="6" t="s">
        <v>60</v>
      </c>
      <c r="F304" s="7">
        <v>4422</v>
      </c>
      <c r="G304" s="7">
        <v>434</v>
      </c>
      <c r="H304" s="7">
        <v>156</v>
      </c>
      <c r="I304" s="7">
        <v>56165</v>
      </c>
      <c r="J304" s="11">
        <v>8.9237069349238848E-2</v>
      </c>
      <c r="K304" s="7">
        <v>52431</v>
      </c>
      <c r="L304" s="7">
        <v>173</v>
      </c>
      <c r="M304" s="6" t="s">
        <v>19</v>
      </c>
      <c r="N304" s="6" t="s">
        <v>26</v>
      </c>
    </row>
    <row r="305" spans="1:14" x14ac:dyDescent="0.25">
      <c r="A305" s="6" t="s">
        <v>251</v>
      </c>
      <c r="B305" s="6" t="s">
        <v>17</v>
      </c>
      <c r="C305" s="9">
        <v>45551</v>
      </c>
      <c r="D305" s="6" t="s">
        <v>53</v>
      </c>
      <c r="E305" s="6" t="s">
        <v>60</v>
      </c>
      <c r="F305" s="7">
        <v>4422</v>
      </c>
      <c r="G305" s="7">
        <v>434</v>
      </c>
      <c r="H305" s="7">
        <v>156</v>
      </c>
      <c r="I305" s="7">
        <v>56165</v>
      </c>
      <c r="J305" s="11">
        <v>8.9237069349238848E-2</v>
      </c>
      <c r="K305" s="7">
        <v>52431</v>
      </c>
      <c r="L305" s="7">
        <v>173</v>
      </c>
      <c r="M305" s="6" t="s">
        <v>19</v>
      </c>
      <c r="N305" s="6" t="s">
        <v>14</v>
      </c>
    </row>
    <row r="306" spans="1:14" x14ac:dyDescent="0.25">
      <c r="A306" s="6" t="s">
        <v>252</v>
      </c>
      <c r="B306" s="6" t="s">
        <v>12</v>
      </c>
      <c r="C306" s="9">
        <v>45447</v>
      </c>
      <c r="D306" s="6" t="s">
        <v>78</v>
      </c>
      <c r="E306" s="6" t="s">
        <v>56</v>
      </c>
      <c r="F306" s="7">
        <v>1211</v>
      </c>
      <c r="G306" s="7">
        <v>431</v>
      </c>
      <c r="H306" s="7">
        <v>83</v>
      </c>
      <c r="I306" s="7">
        <v>26532</v>
      </c>
      <c r="J306" s="11">
        <v>6.5015829941203071E-2</v>
      </c>
      <c r="K306" s="7">
        <v>47305</v>
      </c>
      <c r="L306" s="7">
        <v>232</v>
      </c>
      <c r="M306" s="6" t="s">
        <v>9</v>
      </c>
      <c r="N306" s="6" t="s">
        <v>26</v>
      </c>
    </row>
    <row r="307" spans="1:14" x14ac:dyDescent="0.25">
      <c r="A307" s="6" t="s">
        <v>252</v>
      </c>
      <c r="B307" s="6" t="s">
        <v>12</v>
      </c>
      <c r="C307" s="9">
        <v>45447</v>
      </c>
      <c r="D307" s="6" t="s">
        <v>78</v>
      </c>
      <c r="E307" s="6" t="s">
        <v>56</v>
      </c>
      <c r="F307" s="7">
        <v>1211</v>
      </c>
      <c r="G307" s="7">
        <v>431</v>
      </c>
      <c r="H307" s="7">
        <v>83</v>
      </c>
      <c r="I307" s="7">
        <v>26532</v>
      </c>
      <c r="J307" s="11">
        <v>6.5015829941203071E-2</v>
      </c>
      <c r="K307" s="7">
        <v>47305</v>
      </c>
      <c r="L307" s="7">
        <v>232</v>
      </c>
      <c r="M307" s="6" t="s">
        <v>9</v>
      </c>
      <c r="N307" s="6" t="s">
        <v>22</v>
      </c>
    </row>
    <row r="308" spans="1:14" x14ac:dyDescent="0.25">
      <c r="A308" s="6" t="s">
        <v>253</v>
      </c>
      <c r="B308" s="6" t="s">
        <v>17</v>
      </c>
      <c r="C308" s="9">
        <v>45422</v>
      </c>
      <c r="D308" s="6" t="s">
        <v>53</v>
      </c>
      <c r="E308" s="6" t="s">
        <v>51</v>
      </c>
      <c r="F308" s="7">
        <v>2784</v>
      </c>
      <c r="G308" s="7">
        <v>111</v>
      </c>
      <c r="H308" s="7">
        <v>399</v>
      </c>
      <c r="I308" s="7">
        <v>58366</v>
      </c>
      <c r="J308" s="11">
        <v>5.6436966727204191E-2</v>
      </c>
      <c r="K308" s="7">
        <v>69512</v>
      </c>
      <c r="L308" s="7">
        <v>269</v>
      </c>
      <c r="M308" s="6" t="s">
        <v>19</v>
      </c>
      <c r="N308" s="6" t="s">
        <v>14</v>
      </c>
    </row>
    <row r="309" spans="1:14" x14ac:dyDescent="0.25">
      <c r="A309" s="6" t="s">
        <v>253</v>
      </c>
      <c r="B309" s="6" t="s">
        <v>17</v>
      </c>
      <c r="C309" s="9">
        <v>45422</v>
      </c>
      <c r="D309" s="6" t="s">
        <v>53</v>
      </c>
      <c r="E309" s="6" t="s">
        <v>51</v>
      </c>
      <c r="F309" s="7">
        <v>2784</v>
      </c>
      <c r="G309" s="7">
        <v>111</v>
      </c>
      <c r="H309" s="7">
        <v>399</v>
      </c>
      <c r="I309" s="7">
        <v>58366</v>
      </c>
      <c r="J309" s="11">
        <v>5.6436966727204191E-2</v>
      </c>
      <c r="K309" s="7">
        <v>69512</v>
      </c>
      <c r="L309" s="7">
        <v>269</v>
      </c>
      <c r="M309" s="6" t="s">
        <v>19</v>
      </c>
      <c r="N309" s="6" t="s">
        <v>18</v>
      </c>
    </row>
    <row r="310" spans="1:14" x14ac:dyDescent="0.25">
      <c r="A310" s="6" t="s">
        <v>254</v>
      </c>
      <c r="B310" s="6" t="s">
        <v>12</v>
      </c>
      <c r="C310" s="9">
        <v>45305</v>
      </c>
      <c r="D310" s="6" t="s">
        <v>48</v>
      </c>
      <c r="E310" s="6" t="s">
        <v>54</v>
      </c>
      <c r="F310" s="7">
        <v>3634</v>
      </c>
      <c r="G310" s="7">
        <v>280</v>
      </c>
      <c r="H310" s="7">
        <v>399</v>
      </c>
      <c r="I310" s="7">
        <v>40256</v>
      </c>
      <c r="J310" s="11">
        <v>0.10713930842607314</v>
      </c>
      <c r="K310" s="7">
        <v>52605</v>
      </c>
      <c r="L310" s="7">
        <v>213</v>
      </c>
      <c r="M310" s="6" t="s">
        <v>23</v>
      </c>
      <c r="N310" s="6" t="s">
        <v>26</v>
      </c>
    </row>
    <row r="311" spans="1:14" x14ac:dyDescent="0.25">
      <c r="A311" s="6" t="s">
        <v>254</v>
      </c>
      <c r="B311" s="6" t="s">
        <v>12</v>
      </c>
      <c r="C311" s="9">
        <v>45305</v>
      </c>
      <c r="D311" s="6" t="s">
        <v>48</v>
      </c>
      <c r="E311" s="6" t="s">
        <v>54</v>
      </c>
      <c r="F311" s="7">
        <v>3634</v>
      </c>
      <c r="G311" s="7">
        <v>280</v>
      </c>
      <c r="H311" s="7">
        <v>399</v>
      </c>
      <c r="I311" s="7">
        <v>40256</v>
      </c>
      <c r="J311" s="11">
        <v>0.10713930842607314</v>
      </c>
      <c r="K311" s="7">
        <v>52605</v>
      </c>
      <c r="L311" s="7">
        <v>213</v>
      </c>
      <c r="M311" s="6" t="s">
        <v>23</v>
      </c>
      <c r="N311" s="6" t="s">
        <v>13</v>
      </c>
    </row>
    <row r="312" spans="1:14" x14ac:dyDescent="0.25">
      <c r="A312" s="6" t="s">
        <v>255</v>
      </c>
      <c r="B312" s="6" t="s">
        <v>11</v>
      </c>
      <c r="C312" s="9">
        <v>45669</v>
      </c>
      <c r="D312" s="6" t="s">
        <v>48</v>
      </c>
      <c r="E312" s="6" t="s">
        <v>71</v>
      </c>
      <c r="F312" s="7">
        <v>1771</v>
      </c>
      <c r="G312" s="7">
        <v>487</v>
      </c>
      <c r="H312" s="7">
        <v>272</v>
      </c>
      <c r="I312" s="7">
        <v>48810</v>
      </c>
      <c r="J312" s="11">
        <v>5.1833640647408315E-2</v>
      </c>
      <c r="K312" s="7">
        <v>48084</v>
      </c>
      <c r="L312" s="7">
        <v>272</v>
      </c>
      <c r="M312" s="6" t="s">
        <v>19</v>
      </c>
      <c r="N312" s="6" t="s">
        <v>22</v>
      </c>
    </row>
    <row r="313" spans="1:14" x14ac:dyDescent="0.25">
      <c r="A313" s="6" t="s">
        <v>255</v>
      </c>
      <c r="B313" s="6" t="s">
        <v>11</v>
      </c>
      <c r="C313" s="9">
        <v>45669</v>
      </c>
      <c r="D313" s="6" t="s">
        <v>48</v>
      </c>
      <c r="E313" s="6" t="s">
        <v>71</v>
      </c>
      <c r="F313" s="7">
        <v>1771</v>
      </c>
      <c r="G313" s="7">
        <v>487</v>
      </c>
      <c r="H313" s="7">
        <v>272</v>
      </c>
      <c r="I313" s="7">
        <v>48810</v>
      </c>
      <c r="J313" s="11">
        <v>5.1833640647408315E-2</v>
      </c>
      <c r="K313" s="7">
        <v>48084</v>
      </c>
      <c r="L313" s="7">
        <v>272</v>
      </c>
      <c r="M313" s="6" t="s">
        <v>19</v>
      </c>
      <c r="N313" s="6" t="s">
        <v>18</v>
      </c>
    </row>
    <row r="314" spans="1:14" x14ac:dyDescent="0.25">
      <c r="A314" s="6" t="s">
        <v>256</v>
      </c>
      <c r="B314" s="6" t="s">
        <v>12</v>
      </c>
      <c r="C314" s="9">
        <v>45634</v>
      </c>
      <c r="D314" s="6" t="s">
        <v>48</v>
      </c>
      <c r="E314" s="6" t="s">
        <v>65</v>
      </c>
      <c r="F314" s="7">
        <v>1424</v>
      </c>
      <c r="G314" s="7">
        <v>396</v>
      </c>
      <c r="H314" s="7">
        <v>312</v>
      </c>
      <c r="I314" s="7">
        <v>59517</v>
      </c>
      <c r="J314" s="11">
        <v>3.5821698002251455E-2</v>
      </c>
      <c r="K314" s="7">
        <v>46102</v>
      </c>
      <c r="L314" s="7">
        <v>239</v>
      </c>
      <c r="M314" s="6" t="s">
        <v>23</v>
      </c>
      <c r="N314" s="6" t="s">
        <v>26</v>
      </c>
    </row>
    <row r="315" spans="1:14" x14ac:dyDescent="0.25">
      <c r="A315" s="6" t="s">
        <v>256</v>
      </c>
      <c r="B315" s="6" t="s">
        <v>12</v>
      </c>
      <c r="C315" s="9">
        <v>45634</v>
      </c>
      <c r="D315" s="6" t="s">
        <v>48</v>
      </c>
      <c r="E315" s="6" t="s">
        <v>65</v>
      </c>
      <c r="F315" s="7">
        <v>1424</v>
      </c>
      <c r="G315" s="7">
        <v>396</v>
      </c>
      <c r="H315" s="7">
        <v>312</v>
      </c>
      <c r="I315" s="7">
        <v>59517</v>
      </c>
      <c r="J315" s="11">
        <v>3.5821698002251455E-2</v>
      </c>
      <c r="K315" s="7">
        <v>46102</v>
      </c>
      <c r="L315" s="7">
        <v>239</v>
      </c>
      <c r="M315" s="6" t="s">
        <v>23</v>
      </c>
      <c r="N315" s="6" t="s">
        <v>13</v>
      </c>
    </row>
    <row r="316" spans="1:14" x14ac:dyDescent="0.25">
      <c r="A316" s="6" t="s">
        <v>257</v>
      </c>
      <c r="B316" s="6" t="s">
        <v>17</v>
      </c>
      <c r="C316" s="9">
        <v>45689</v>
      </c>
      <c r="D316" s="6" t="s">
        <v>53</v>
      </c>
      <c r="E316" s="6" t="s">
        <v>65</v>
      </c>
      <c r="F316" s="7">
        <v>1079</v>
      </c>
      <c r="G316" s="7">
        <v>265</v>
      </c>
      <c r="H316" s="7">
        <v>190</v>
      </c>
      <c r="I316" s="7">
        <v>43786</v>
      </c>
      <c r="J316" s="11">
        <v>3.5034029141734799E-2</v>
      </c>
      <c r="K316" s="7">
        <v>72428</v>
      </c>
      <c r="L316" s="7">
        <v>222</v>
      </c>
      <c r="M316" s="6" t="s">
        <v>19</v>
      </c>
      <c r="N316" s="6" t="s">
        <v>22</v>
      </c>
    </row>
    <row r="317" spans="1:14" x14ac:dyDescent="0.25">
      <c r="A317" s="6" t="s">
        <v>257</v>
      </c>
      <c r="B317" s="6" t="s">
        <v>17</v>
      </c>
      <c r="C317" s="9">
        <v>45689</v>
      </c>
      <c r="D317" s="6" t="s">
        <v>53</v>
      </c>
      <c r="E317" s="6" t="s">
        <v>65</v>
      </c>
      <c r="F317" s="7">
        <v>1079</v>
      </c>
      <c r="G317" s="7">
        <v>265</v>
      </c>
      <c r="H317" s="7">
        <v>190</v>
      </c>
      <c r="I317" s="7">
        <v>43786</v>
      </c>
      <c r="J317" s="11">
        <v>3.5034029141734799E-2</v>
      </c>
      <c r="K317" s="7">
        <v>72428</v>
      </c>
      <c r="L317" s="7">
        <v>222</v>
      </c>
      <c r="M317" s="6" t="s">
        <v>19</v>
      </c>
      <c r="N317" s="6" t="s">
        <v>18</v>
      </c>
    </row>
    <row r="318" spans="1:14" x14ac:dyDescent="0.25">
      <c r="A318" s="6" t="s">
        <v>258</v>
      </c>
      <c r="B318" s="6" t="s">
        <v>17</v>
      </c>
      <c r="C318" s="9">
        <v>45484</v>
      </c>
      <c r="D318" s="6" t="s">
        <v>53</v>
      </c>
      <c r="E318" s="6" t="s">
        <v>62</v>
      </c>
      <c r="F318" s="7">
        <v>4247</v>
      </c>
      <c r="G318" s="7">
        <v>179</v>
      </c>
      <c r="H318" s="7">
        <v>175</v>
      </c>
      <c r="I318" s="7">
        <v>32991</v>
      </c>
      <c r="J318" s="11">
        <v>0.13946227759085811</v>
      </c>
      <c r="K318" s="7">
        <v>70120</v>
      </c>
      <c r="L318" s="7">
        <v>276</v>
      </c>
      <c r="M318" s="6" t="s">
        <v>19</v>
      </c>
      <c r="N318" s="6" t="s">
        <v>22</v>
      </c>
    </row>
    <row r="319" spans="1:14" x14ac:dyDescent="0.25">
      <c r="A319" s="6" t="s">
        <v>258</v>
      </c>
      <c r="B319" s="6" t="s">
        <v>17</v>
      </c>
      <c r="C319" s="9">
        <v>45484</v>
      </c>
      <c r="D319" s="6" t="s">
        <v>53</v>
      </c>
      <c r="E319" s="6" t="s">
        <v>62</v>
      </c>
      <c r="F319" s="7">
        <v>4247</v>
      </c>
      <c r="G319" s="7">
        <v>179</v>
      </c>
      <c r="H319" s="7">
        <v>175</v>
      </c>
      <c r="I319" s="7">
        <v>32991</v>
      </c>
      <c r="J319" s="11">
        <v>0.13946227759085811</v>
      </c>
      <c r="K319" s="7">
        <v>70120</v>
      </c>
      <c r="L319" s="7">
        <v>276</v>
      </c>
      <c r="M319" s="6" t="s">
        <v>19</v>
      </c>
      <c r="N319" s="6" t="s">
        <v>18</v>
      </c>
    </row>
    <row r="320" spans="1:14" x14ac:dyDescent="0.25">
      <c r="A320" s="6" t="s">
        <v>259</v>
      </c>
      <c r="B320" s="6" t="s">
        <v>17</v>
      </c>
      <c r="C320" s="9">
        <v>45369</v>
      </c>
      <c r="D320" s="6" t="s">
        <v>48</v>
      </c>
      <c r="E320" s="6" t="s">
        <v>54</v>
      </c>
      <c r="F320" s="7">
        <v>2033</v>
      </c>
      <c r="G320" s="7">
        <v>420</v>
      </c>
      <c r="H320" s="7">
        <v>94</v>
      </c>
      <c r="I320" s="7">
        <v>56290</v>
      </c>
      <c r="J320" s="11">
        <v>4.5247823769763724E-2</v>
      </c>
      <c r="K320" s="7">
        <v>57391</v>
      </c>
      <c r="L320" s="7">
        <v>196</v>
      </c>
      <c r="M320" s="6" t="s">
        <v>19</v>
      </c>
      <c r="N320" s="6" t="s">
        <v>18</v>
      </c>
    </row>
    <row r="321" spans="1:14" x14ac:dyDescent="0.25">
      <c r="A321" s="6" t="s">
        <v>260</v>
      </c>
      <c r="B321" s="6" t="s">
        <v>17</v>
      </c>
      <c r="C321" s="9">
        <v>45547</v>
      </c>
      <c r="D321" s="6" t="s">
        <v>53</v>
      </c>
      <c r="E321" s="6" t="s">
        <v>56</v>
      </c>
      <c r="F321" s="7">
        <v>1839</v>
      </c>
      <c r="G321" s="7">
        <v>223</v>
      </c>
      <c r="H321" s="7">
        <v>171</v>
      </c>
      <c r="I321" s="7">
        <v>35459</v>
      </c>
      <c r="J321" s="11">
        <v>6.2974139146620034E-2</v>
      </c>
      <c r="K321" s="7">
        <v>69988</v>
      </c>
      <c r="L321" s="7">
        <v>114</v>
      </c>
      <c r="M321" s="6" t="s">
        <v>19</v>
      </c>
      <c r="N321" s="6" t="s">
        <v>14</v>
      </c>
    </row>
    <row r="322" spans="1:14" x14ac:dyDescent="0.25">
      <c r="A322" s="6" t="s">
        <v>260</v>
      </c>
      <c r="B322" s="6" t="s">
        <v>17</v>
      </c>
      <c r="C322" s="9">
        <v>45547</v>
      </c>
      <c r="D322" s="6" t="s">
        <v>53</v>
      </c>
      <c r="E322" s="6" t="s">
        <v>56</v>
      </c>
      <c r="F322" s="7">
        <v>1839</v>
      </c>
      <c r="G322" s="7">
        <v>223</v>
      </c>
      <c r="H322" s="7">
        <v>171</v>
      </c>
      <c r="I322" s="7">
        <v>35459</v>
      </c>
      <c r="J322" s="11">
        <v>6.2974139146620034E-2</v>
      </c>
      <c r="K322" s="7">
        <v>69988</v>
      </c>
      <c r="L322" s="7">
        <v>114</v>
      </c>
      <c r="M322" s="6" t="s">
        <v>19</v>
      </c>
      <c r="N322" s="6" t="s">
        <v>18</v>
      </c>
    </row>
    <row r="323" spans="1:14" x14ac:dyDescent="0.25">
      <c r="A323" s="6" t="s">
        <v>261</v>
      </c>
      <c r="B323" s="6" t="s">
        <v>17</v>
      </c>
      <c r="C323" s="9">
        <v>45302</v>
      </c>
      <c r="D323" s="6" t="s">
        <v>53</v>
      </c>
      <c r="E323" s="6" t="s">
        <v>56</v>
      </c>
      <c r="F323" s="7">
        <v>2340</v>
      </c>
      <c r="G323" s="7">
        <v>141</v>
      </c>
      <c r="H323" s="7">
        <v>206</v>
      </c>
      <c r="I323" s="7">
        <v>24916</v>
      </c>
      <c r="J323" s="11">
        <v>0.10784235029699792</v>
      </c>
      <c r="K323" s="7">
        <v>30582</v>
      </c>
      <c r="L323" s="7">
        <v>157</v>
      </c>
      <c r="M323" s="6" t="s">
        <v>19</v>
      </c>
      <c r="N323" s="6" t="s">
        <v>22</v>
      </c>
    </row>
    <row r="324" spans="1:14" x14ac:dyDescent="0.25">
      <c r="A324" s="6" t="s">
        <v>261</v>
      </c>
      <c r="B324" s="6" t="s">
        <v>17</v>
      </c>
      <c r="C324" s="9">
        <v>45302</v>
      </c>
      <c r="D324" s="6" t="s">
        <v>53</v>
      </c>
      <c r="E324" s="6" t="s">
        <v>56</v>
      </c>
      <c r="F324" s="7">
        <v>2340</v>
      </c>
      <c r="G324" s="7">
        <v>141</v>
      </c>
      <c r="H324" s="7">
        <v>206</v>
      </c>
      <c r="I324" s="7">
        <v>24916</v>
      </c>
      <c r="J324" s="11">
        <v>0.10784235029699792</v>
      </c>
      <c r="K324" s="7">
        <v>30582</v>
      </c>
      <c r="L324" s="7">
        <v>157</v>
      </c>
      <c r="M324" s="6" t="s">
        <v>19</v>
      </c>
      <c r="N324" s="6" t="s">
        <v>18</v>
      </c>
    </row>
    <row r="325" spans="1:14" x14ac:dyDescent="0.25">
      <c r="A325" s="6" t="s">
        <v>262</v>
      </c>
      <c r="B325" s="6" t="s">
        <v>11</v>
      </c>
      <c r="C325" s="9">
        <v>45571</v>
      </c>
      <c r="D325" s="6" t="s">
        <v>48</v>
      </c>
      <c r="E325" s="6" t="s">
        <v>65</v>
      </c>
      <c r="F325" s="7">
        <v>2080</v>
      </c>
      <c r="G325" s="7">
        <v>389</v>
      </c>
      <c r="H325" s="7">
        <v>92</v>
      </c>
      <c r="I325" s="7">
        <v>30971</v>
      </c>
      <c r="J325" s="11">
        <v>8.2690258629040073E-2</v>
      </c>
      <c r="K325" s="7">
        <v>25347</v>
      </c>
      <c r="L325" s="7">
        <v>111</v>
      </c>
      <c r="M325" s="6" t="s">
        <v>23</v>
      </c>
      <c r="N325" s="6" t="s">
        <v>26</v>
      </c>
    </row>
    <row r="326" spans="1:14" x14ac:dyDescent="0.25">
      <c r="A326" s="6" t="s">
        <v>263</v>
      </c>
      <c r="B326" s="6" t="s">
        <v>17</v>
      </c>
      <c r="C326" s="9">
        <v>45656</v>
      </c>
      <c r="D326" s="6" t="s">
        <v>48</v>
      </c>
      <c r="E326" s="6" t="s">
        <v>62</v>
      </c>
      <c r="F326" s="7">
        <v>4214</v>
      </c>
      <c r="G326" s="7">
        <v>286</v>
      </c>
      <c r="H326" s="7">
        <v>127</v>
      </c>
      <c r="I326" s="7">
        <v>47293</v>
      </c>
      <c r="J326" s="11">
        <v>9.7836889180216949E-2</v>
      </c>
      <c r="K326" s="7">
        <v>27184</v>
      </c>
      <c r="L326" s="7">
        <v>232</v>
      </c>
      <c r="M326" s="6" t="s">
        <v>19</v>
      </c>
      <c r="N326" s="6" t="s">
        <v>18</v>
      </c>
    </row>
    <row r="327" spans="1:14" x14ac:dyDescent="0.25">
      <c r="A327" s="6" t="s">
        <v>264</v>
      </c>
      <c r="B327" s="6" t="s">
        <v>17</v>
      </c>
      <c r="C327" s="9">
        <v>45763</v>
      </c>
      <c r="D327" s="6" t="s">
        <v>48</v>
      </c>
      <c r="E327" s="6" t="s">
        <v>56</v>
      </c>
      <c r="F327" s="7">
        <v>3792</v>
      </c>
      <c r="G327" s="7">
        <v>315</v>
      </c>
      <c r="H327" s="7">
        <v>120</v>
      </c>
      <c r="I327" s="7">
        <v>54592</v>
      </c>
      <c r="J327" s="11">
        <v>7.7428927315357568E-2</v>
      </c>
      <c r="K327" s="7">
        <v>67886</v>
      </c>
      <c r="L327" s="7">
        <v>117</v>
      </c>
      <c r="M327" s="6" t="s">
        <v>23</v>
      </c>
      <c r="N327" s="6" t="s">
        <v>22</v>
      </c>
    </row>
    <row r="328" spans="1:14" x14ac:dyDescent="0.25">
      <c r="A328" s="6" t="s">
        <v>265</v>
      </c>
      <c r="B328" s="6" t="s">
        <v>17</v>
      </c>
      <c r="C328" s="9">
        <v>45525</v>
      </c>
      <c r="D328" s="6" t="s">
        <v>53</v>
      </c>
      <c r="E328" s="6" t="s">
        <v>51</v>
      </c>
      <c r="F328" s="7">
        <v>3989</v>
      </c>
      <c r="G328" s="7">
        <v>476</v>
      </c>
      <c r="H328" s="7">
        <v>128</v>
      </c>
      <c r="I328" s="7">
        <v>57569</v>
      </c>
      <c r="J328" s="11">
        <v>7.9782521843353188E-2</v>
      </c>
      <c r="K328" s="7">
        <v>40193</v>
      </c>
      <c r="L328" s="7">
        <v>222</v>
      </c>
      <c r="M328" s="6" t="s">
        <v>19</v>
      </c>
      <c r="N328" s="6" t="s">
        <v>26</v>
      </c>
    </row>
    <row r="329" spans="1:14" x14ac:dyDescent="0.25">
      <c r="A329" s="6" t="s">
        <v>265</v>
      </c>
      <c r="B329" s="6" t="s">
        <v>17</v>
      </c>
      <c r="C329" s="9">
        <v>45525</v>
      </c>
      <c r="D329" s="6" t="s">
        <v>53</v>
      </c>
      <c r="E329" s="6" t="s">
        <v>51</v>
      </c>
      <c r="F329" s="7">
        <v>3989</v>
      </c>
      <c r="G329" s="7">
        <v>476</v>
      </c>
      <c r="H329" s="7">
        <v>128</v>
      </c>
      <c r="I329" s="7">
        <v>57569</v>
      </c>
      <c r="J329" s="11">
        <v>7.9782521843353188E-2</v>
      </c>
      <c r="K329" s="7">
        <v>40193</v>
      </c>
      <c r="L329" s="7">
        <v>222</v>
      </c>
      <c r="M329" s="6" t="s">
        <v>19</v>
      </c>
      <c r="N329" s="6" t="s">
        <v>14</v>
      </c>
    </row>
    <row r="330" spans="1:14" x14ac:dyDescent="0.25">
      <c r="A330" s="6" t="s">
        <v>266</v>
      </c>
      <c r="B330" s="6" t="s">
        <v>17</v>
      </c>
      <c r="C330" s="9">
        <v>45387</v>
      </c>
      <c r="D330" s="6" t="s">
        <v>53</v>
      </c>
      <c r="E330" s="6" t="s">
        <v>56</v>
      </c>
      <c r="F330" s="7">
        <v>2857</v>
      </c>
      <c r="G330" s="7">
        <v>443</v>
      </c>
      <c r="H330" s="7">
        <v>359</v>
      </c>
      <c r="I330" s="7">
        <v>51519</v>
      </c>
      <c r="J330" s="11">
        <v>7.1022341272152026E-2</v>
      </c>
      <c r="K330" s="7">
        <v>28256</v>
      </c>
      <c r="L330" s="7">
        <v>155</v>
      </c>
      <c r="M330" s="6" t="s">
        <v>19</v>
      </c>
      <c r="N330" s="6" t="s">
        <v>22</v>
      </c>
    </row>
    <row r="331" spans="1:14" x14ac:dyDescent="0.25">
      <c r="A331" s="6" t="s">
        <v>266</v>
      </c>
      <c r="B331" s="6" t="s">
        <v>17</v>
      </c>
      <c r="C331" s="9">
        <v>45387</v>
      </c>
      <c r="D331" s="6" t="s">
        <v>53</v>
      </c>
      <c r="E331" s="6" t="s">
        <v>56</v>
      </c>
      <c r="F331" s="7">
        <v>2857</v>
      </c>
      <c r="G331" s="7">
        <v>443</v>
      </c>
      <c r="H331" s="7">
        <v>359</v>
      </c>
      <c r="I331" s="7">
        <v>51519</v>
      </c>
      <c r="J331" s="11">
        <v>7.1022341272152026E-2</v>
      </c>
      <c r="K331" s="7">
        <v>28256</v>
      </c>
      <c r="L331" s="7">
        <v>155</v>
      </c>
      <c r="M331" s="6" t="s">
        <v>19</v>
      </c>
      <c r="N331" s="6" t="s">
        <v>18</v>
      </c>
    </row>
    <row r="332" spans="1:14" x14ac:dyDescent="0.25">
      <c r="A332" s="6" t="s">
        <v>267</v>
      </c>
      <c r="B332" s="6" t="s">
        <v>17</v>
      </c>
      <c r="C332" s="9">
        <v>45754</v>
      </c>
      <c r="D332" s="6" t="s">
        <v>48</v>
      </c>
      <c r="E332" s="6" t="s">
        <v>71</v>
      </c>
      <c r="F332" s="7">
        <v>1403</v>
      </c>
      <c r="G332" s="7">
        <v>385</v>
      </c>
      <c r="H332" s="7">
        <v>344</v>
      </c>
      <c r="I332" s="7">
        <v>54223</v>
      </c>
      <c r="J332" s="11">
        <v>3.9319108127547353E-2</v>
      </c>
      <c r="K332" s="7">
        <v>72595</v>
      </c>
      <c r="L332" s="7">
        <v>239</v>
      </c>
      <c r="M332" s="6" t="s">
        <v>23</v>
      </c>
      <c r="N332" s="6" t="s">
        <v>22</v>
      </c>
    </row>
    <row r="333" spans="1:14" x14ac:dyDescent="0.25">
      <c r="A333" s="6" t="s">
        <v>268</v>
      </c>
      <c r="B333" s="6" t="s">
        <v>17</v>
      </c>
      <c r="C333" s="9">
        <v>45492</v>
      </c>
      <c r="D333" s="6" t="s">
        <v>53</v>
      </c>
      <c r="E333" s="6" t="s">
        <v>60</v>
      </c>
      <c r="F333" s="7">
        <v>3071</v>
      </c>
      <c r="G333" s="7">
        <v>126</v>
      </c>
      <c r="H333" s="7">
        <v>200</v>
      </c>
      <c r="I333" s="7">
        <v>44013</v>
      </c>
      <c r="J333" s="11">
        <v>7.7181741758116915E-2</v>
      </c>
      <c r="K333" s="7">
        <v>44679</v>
      </c>
      <c r="L333" s="7">
        <v>118</v>
      </c>
      <c r="M333" s="6" t="s">
        <v>19</v>
      </c>
      <c r="N333" s="6" t="s">
        <v>26</v>
      </c>
    </row>
    <row r="334" spans="1:14" x14ac:dyDescent="0.25">
      <c r="A334" s="6" t="s">
        <v>268</v>
      </c>
      <c r="B334" s="6" t="s">
        <v>17</v>
      </c>
      <c r="C334" s="9">
        <v>45492</v>
      </c>
      <c r="D334" s="6" t="s">
        <v>53</v>
      </c>
      <c r="E334" s="6" t="s">
        <v>60</v>
      </c>
      <c r="F334" s="7">
        <v>3071</v>
      </c>
      <c r="G334" s="7">
        <v>126</v>
      </c>
      <c r="H334" s="7">
        <v>200</v>
      </c>
      <c r="I334" s="7">
        <v>44013</v>
      </c>
      <c r="J334" s="11">
        <v>7.7181741758116915E-2</v>
      </c>
      <c r="K334" s="7">
        <v>44679</v>
      </c>
      <c r="L334" s="7">
        <v>118</v>
      </c>
      <c r="M334" s="6" t="s">
        <v>19</v>
      </c>
      <c r="N334" s="6" t="s">
        <v>14</v>
      </c>
    </row>
    <row r="335" spans="1:14" x14ac:dyDescent="0.25">
      <c r="A335" s="6" t="s">
        <v>269</v>
      </c>
      <c r="B335" s="6" t="s">
        <v>17</v>
      </c>
      <c r="C335" s="9">
        <v>45780</v>
      </c>
      <c r="D335" s="6" t="s">
        <v>53</v>
      </c>
      <c r="E335" s="6" t="s">
        <v>65</v>
      </c>
      <c r="F335" s="7">
        <v>1010</v>
      </c>
      <c r="G335" s="7">
        <v>361</v>
      </c>
      <c r="H335" s="7">
        <v>240</v>
      </c>
      <c r="I335" s="7">
        <v>47229</v>
      </c>
      <c r="J335" s="11">
        <v>3.4110398272247981E-2</v>
      </c>
      <c r="K335" s="7">
        <v>72573</v>
      </c>
      <c r="L335" s="7">
        <v>275</v>
      </c>
      <c r="M335" s="6" t="s">
        <v>19</v>
      </c>
      <c r="N335" s="6" t="s">
        <v>22</v>
      </c>
    </row>
    <row r="336" spans="1:14" x14ac:dyDescent="0.25">
      <c r="A336" s="6" t="s">
        <v>269</v>
      </c>
      <c r="B336" s="6" t="s">
        <v>17</v>
      </c>
      <c r="C336" s="9">
        <v>45780</v>
      </c>
      <c r="D336" s="6" t="s">
        <v>53</v>
      </c>
      <c r="E336" s="6" t="s">
        <v>65</v>
      </c>
      <c r="F336" s="7">
        <v>1010</v>
      </c>
      <c r="G336" s="7">
        <v>361</v>
      </c>
      <c r="H336" s="7">
        <v>240</v>
      </c>
      <c r="I336" s="7">
        <v>47229</v>
      </c>
      <c r="J336" s="11">
        <v>3.4110398272247981E-2</v>
      </c>
      <c r="K336" s="7">
        <v>72573</v>
      </c>
      <c r="L336" s="7">
        <v>275</v>
      </c>
      <c r="M336" s="6" t="s">
        <v>19</v>
      </c>
      <c r="N336" s="6" t="s">
        <v>18</v>
      </c>
    </row>
    <row r="337" spans="1:14" x14ac:dyDescent="0.25">
      <c r="A337" s="6" t="s">
        <v>270</v>
      </c>
      <c r="B337" s="6" t="s">
        <v>17</v>
      </c>
      <c r="C337" s="9">
        <v>45396</v>
      </c>
      <c r="D337" s="6" t="s">
        <v>53</v>
      </c>
      <c r="E337" s="6" t="s">
        <v>49</v>
      </c>
      <c r="F337" s="7">
        <v>1295</v>
      </c>
      <c r="G337" s="7">
        <v>153</v>
      </c>
      <c r="H337" s="7">
        <v>81</v>
      </c>
      <c r="I337" s="7">
        <v>48350</v>
      </c>
      <c r="J337" s="11">
        <v>3.1623578076525334E-2</v>
      </c>
      <c r="K337" s="7">
        <v>61033</v>
      </c>
      <c r="L337" s="7">
        <v>232</v>
      </c>
      <c r="M337" s="6" t="s">
        <v>19</v>
      </c>
      <c r="N337" s="6" t="s">
        <v>26</v>
      </c>
    </row>
    <row r="338" spans="1:14" x14ac:dyDescent="0.25">
      <c r="A338" s="6" t="s">
        <v>270</v>
      </c>
      <c r="B338" s="6" t="s">
        <v>17</v>
      </c>
      <c r="C338" s="9">
        <v>45396</v>
      </c>
      <c r="D338" s="6" t="s">
        <v>53</v>
      </c>
      <c r="E338" s="6" t="s">
        <v>49</v>
      </c>
      <c r="F338" s="7">
        <v>1295</v>
      </c>
      <c r="G338" s="7">
        <v>153</v>
      </c>
      <c r="H338" s="7">
        <v>81</v>
      </c>
      <c r="I338" s="7">
        <v>48350</v>
      </c>
      <c r="J338" s="11">
        <v>3.1623578076525334E-2</v>
      </c>
      <c r="K338" s="7">
        <v>61033</v>
      </c>
      <c r="L338" s="7">
        <v>232</v>
      </c>
      <c r="M338" s="6" t="s">
        <v>19</v>
      </c>
      <c r="N338" s="6" t="s">
        <v>14</v>
      </c>
    </row>
    <row r="339" spans="1:14" x14ac:dyDescent="0.25">
      <c r="A339" s="6" t="s">
        <v>271</v>
      </c>
      <c r="B339" s="6" t="s">
        <v>17</v>
      </c>
      <c r="C339" s="9">
        <v>45827</v>
      </c>
      <c r="D339" s="6" t="s">
        <v>53</v>
      </c>
      <c r="E339" s="6" t="s">
        <v>60</v>
      </c>
      <c r="F339" s="7">
        <v>1433</v>
      </c>
      <c r="G339" s="7">
        <v>452</v>
      </c>
      <c r="H339" s="7">
        <v>305</v>
      </c>
      <c r="I339" s="7">
        <v>54541</v>
      </c>
      <c r="J339" s="11">
        <v>4.0153279184466734E-2</v>
      </c>
      <c r="K339" s="7">
        <v>63700</v>
      </c>
      <c r="L339" s="7">
        <v>296</v>
      </c>
      <c r="M339" s="6" t="s">
        <v>19</v>
      </c>
      <c r="N339" s="6" t="s">
        <v>26</v>
      </c>
    </row>
    <row r="340" spans="1:14" x14ac:dyDescent="0.25">
      <c r="A340" s="6" t="s">
        <v>271</v>
      </c>
      <c r="B340" s="6" t="s">
        <v>17</v>
      </c>
      <c r="C340" s="9">
        <v>45827</v>
      </c>
      <c r="D340" s="6" t="s">
        <v>53</v>
      </c>
      <c r="E340" s="6" t="s">
        <v>60</v>
      </c>
      <c r="F340" s="7">
        <v>1433</v>
      </c>
      <c r="G340" s="7">
        <v>452</v>
      </c>
      <c r="H340" s="7">
        <v>305</v>
      </c>
      <c r="I340" s="7">
        <v>54541</v>
      </c>
      <c r="J340" s="11">
        <v>4.0153279184466734E-2</v>
      </c>
      <c r="K340" s="7">
        <v>63700</v>
      </c>
      <c r="L340" s="7">
        <v>296</v>
      </c>
      <c r="M340" s="6" t="s">
        <v>19</v>
      </c>
      <c r="N340" s="6" t="s">
        <v>14</v>
      </c>
    </row>
    <row r="341" spans="1:14" x14ac:dyDescent="0.25">
      <c r="A341" s="6" t="s">
        <v>272</v>
      </c>
      <c r="B341" s="6" t="s">
        <v>11</v>
      </c>
      <c r="C341" s="9">
        <v>45832</v>
      </c>
      <c r="D341" s="6" t="s">
        <v>53</v>
      </c>
      <c r="E341" s="6" t="s">
        <v>62</v>
      </c>
      <c r="F341" s="7">
        <v>4902</v>
      </c>
      <c r="G341" s="7">
        <v>422</v>
      </c>
      <c r="H341" s="7">
        <v>376</v>
      </c>
      <c r="I341" s="7">
        <v>31674</v>
      </c>
      <c r="J341" s="11">
        <v>0.17995832544042431</v>
      </c>
      <c r="K341" s="7">
        <v>53225</v>
      </c>
      <c r="L341" s="7">
        <v>147</v>
      </c>
      <c r="M341" s="6" t="s">
        <v>15</v>
      </c>
      <c r="N341" s="6" t="s">
        <v>18</v>
      </c>
    </row>
    <row r="342" spans="1:14" x14ac:dyDescent="0.25">
      <c r="A342" s="6" t="s">
        <v>273</v>
      </c>
      <c r="B342" s="6" t="s">
        <v>17</v>
      </c>
      <c r="C342" s="9">
        <v>45574</v>
      </c>
      <c r="D342" s="6" t="s">
        <v>48</v>
      </c>
      <c r="E342" s="6" t="s">
        <v>56</v>
      </c>
      <c r="F342" s="7">
        <v>2659</v>
      </c>
      <c r="G342" s="7">
        <v>167</v>
      </c>
      <c r="H342" s="7">
        <v>73</v>
      </c>
      <c r="I342" s="7">
        <v>23090</v>
      </c>
      <c r="J342" s="11">
        <v>0.12555218709398008</v>
      </c>
      <c r="K342" s="7">
        <v>25872</v>
      </c>
      <c r="L342" s="7">
        <v>293</v>
      </c>
      <c r="M342" s="6" t="s">
        <v>23</v>
      </c>
      <c r="N342" s="6" t="s">
        <v>22</v>
      </c>
    </row>
    <row r="343" spans="1:14" x14ac:dyDescent="0.25">
      <c r="A343" s="6" t="s">
        <v>274</v>
      </c>
      <c r="B343" s="6" t="s">
        <v>12</v>
      </c>
      <c r="C343" s="9">
        <v>45672</v>
      </c>
      <c r="D343" s="6" t="s">
        <v>48</v>
      </c>
      <c r="E343" s="6" t="s">
        <v>73</v>
      </c>
      <c r="F343" s="7">
        <v>2599</v>
      </c>
      <c r="G343" s="7">
        <v>324</v>
      </c>
      <c r="H343" s="7">
        <v>182</v>
      </c>
      <c r="I343" s="7">
        <v>37525</v>
      </c>
      <c r="J343" s="11">
        <v>8.2744836775483013E-2</v>
      </c>
      <c r="K343" s="7">
        <v>37216</v>
      </c>
      <c r="L343" s="7">
        <v>186</v>
      </c>
      <c r="M343" s="6" t="s">
        <v>23</v>
      </c>
      <c r="N343" s="6" t="s">
        <v>26</v>
      </c>
    </row>
    <row r="344" spans="1:14" x14ac:dyDescent="0.25">
      <c r="A344" s="6" t="s">
        <v>274</v>
      </c>
      <c r="B344" s="6" t="s">
        <v>12</v>
      </c>
      <c r="C344" s="9">
        <v>45672</v>
      </c>
      <c r="D344" s="6" t="s">
        <v>48</v>
      </c>
      <c r="E344" s="6" t="s">
        <v>73</v>
      </c>
      <c r="F344" s="7">
        <v>2599</v>
      </c>
      <c r="G344" s="7">
        <v>324</v>
      </c>
      <c r="H344" s="7">
        <v>182</v>
      </c>
      <c r="I344" s="7">
        <v>37525</v>
      </c>
      <c r="J344" s="11">
        <v>8.2744836775483013E-2</v>
      </c>
      <c r="K344" s="7">
        <v>37216</v>
      </c>
      <c r="L344" s="7">
        <v>186</v>
      </c>
      <c r="M344" s="6" t="s">
        <v>23</v>
      </c>
      <c r="N344" s="6" t="s">
        <v>13</v>
      </c>
    </row>
    <row r="345" spans="1:14" x14ac:dyDescent="0.25">
      <c r="A345" s="6" t="s">
        <v>275</v>
      </c>
      <c r="B345" s="6" t="s">
        <v>17</v>
      </c>
      <c r="C345" s="9">
        <v>45669</v>
      </c>
      <c r="D345" s="6" t="s">
        <v>48</v>
      </c>
      <c r="E345" s="6" t="s">
        <v>58</v>
      </c>
      <c r="F345" s="7">
        <v>1765</v>
      </c>
      <c r="G345" s="7">
        <v>285</v>
      </c>
      <c r="H345" s="7">
        <v>100</v>
      </c>
      <c r="I345" s="7">
        <v>41313</v>
      </c>
      <c r="J345" s="11">
        <v>5.2041730205988429E-2</v>
      </c>
      <c r="K345" s="7">
        <v>56575</v>
      </c>
      <c r="L345" s="7">
        <v>174</v>
      </c>
      <c r="M345" s="6" t="s">
        <v>23</v>
      </c>
      <c r="N345" s="6" t="s">
        <v>22</v>
      </c>
    </row>
    <row r="346" spans="1:14" x14ac:dyDescent="0.25">
      <c r="A346" s="6" t="s">
        <v>276</v>
      </c>
      <c r="B346" s="6" t="s">
        <v>11</v>
      </c>
      <c r="C346" s="9">
        <v>45808</v>
      </c>
      <c r="D346" s="6" t="s">
        <v>48</v>
      </c>
      <c r="E346" s="6" t="s">
        <v>60</v>
      </c>
      <c r="F346" s="7">
        <v>2169</v>
      </c>
      <c r="G346" s="7">
        <v>240</v>
      </c>
      <c r="H346" s="7">
        <v>57</v>
      </c>
      <c r="I346" s="7">
        <v>26109</v>
      </c>
      <c r="J346" s="11">
        <v>9.4450189589796618E-2</v>
      </c>
      <c r="K346" s="7">
        <v>46667</v>
      </c>
      <c r="L346" s="7">
        <v>133</v>
      </c>
      <c r="M346" s="6" t="s">
        <v>19</v>
      </c>
      <c r="N346" s="6" t="s">
        <v>22</v>
      </c>
    </row>
    <row r="347" spans="1:14" x14ac:dyDescent="0.25">
      <c r="A347" s="6" t="s">
        <v>276</v>
      </c>
      <c r="B347" s="6" t="s">
        <v>11</v>
      </c>
      <c r="C347" s="9">
        <v>45808</v>
      </c>
      <c r="D347" s="6" t="s">
        <v>48</v>
      </c>
      <c r="E347" s="6" t="s">
        <v>60</v>
      </c>
      <c r="F347" s="7">
        <v>2169</v>
      </c>
      <c r="G347" s="7">
        <v>240</v>
      </c>
      <c r="H347" s="7">
        <v>57</v>
      </c>
      <c r="I347" s="7">
        <v>26109</v>
      </c>
      <c r="J347" s="11">
        <v>9.4450189589796618E-2</v>
      </c>
      <c r="K347" s="7">
        <v>46667</v>
      </c>
      <c r="L347" s="7">
        <v>133</v>
      </c>
      <c r="M347" s="6" t="s">
        <v>19</v>
      </c>
      <c r="N347" s="6" t="s">
        <v>18</v>
      </c>
    </row>
    <row r="348" spans="1:14" x14ac:dyDescent="0.25">
      <c r="A348" s="6" t="s">
        <v>277</v>
      </c>
      <c r="B348" s="6" t="s">
        <v>17</v>
      </c>
      <c r="C348" s="9">
        <v>45579</v>
      </c>
      <c r="D348" s="6" t="s">
        <v>53</v>
      </c>
      <c r="E348" s="6" t="s">
        <v>51</v>
      </c>
      <c r="F348" s="7">
        <v>4303</v>
      </c>
      <c r="G348" s="7">
        <v>306</v>
      </c>
      <c r="H348" s="7">
        <v>302</v>
      </c>
      <c r="I348" s="7">
        <v>39575</v>
      </c>
      <c r="J348" s="11">
        <v>0.12409349336702463</v>
      </c>
      <c r="K348" s="7">
        <v>33762</v>
      </c>
      <c r="L348" s="7">
        <v>265</v>
      </c>
      <c r="M348" s="6" t="s">
        <v>19</v>
      </c>
      <c r="N348" s="6" t="s">
        <v>26</v>
      </c>
    </row>
    <row r="349" spans="1:14" x14ac:dyDescent="0.25">
      <c r="A349" s="6" t="s">
        <v>277</v>
      </c>
      <c r="B349" s="6" t="s">
        <v>17</v>
      </c>
      <c r="C349" s="9">
        <v>45579</v>
      </c>
      <c r="D349" s="6" t="s">
        <v>53</v>
      </c>
      <c r="E349" s="6" t="s">
        <v>51</v>
      </c>
      <c r="F349" s="7">
        <v>4303</v>
      </c>
      <c r="G349" s="7">
        <v>306</v>
      </c>
      <c r="H349" s="7">
        <v>302</v>
      </c>
      <c r="I349" s="7">
        <v>39575</v>
      </c>
      <c r="J349" s="11">
        <v>0.12409349336702463</v>
      </c>
      <c r="K349" s="7">
        <v>33762</v>
      </c>
      <c r="L349" s="7">
        <v>265</v>
      </c>
      <c r="M349" s="6" t="s">
        <v>19</v>
      </c>
      <c r="N349" s="6" t="s">
        <v>14</v>
      </c>
    </row>
    <row r="350" spans="1:14" x14ac:dyDescent="0.25">
      <c r="A350" s="6" t="s">
        <v>278</v>
      </c>
      <c r="B350" s="6" t="s">
        <v>17</v>
      </c>
      <c r="C350" s="9">
        <v>45332</v>
      </c>
      <c r="D350" s="6" t="s">
        <v>48</v>
      </c>
      <c r="E350" s="6" t="s">
        <v>71</v>
      </c>
      <c r="F350" s="7">
        <v>1519</v>
      </c>
      <c r="G350" s="7">
        <v>456</v>
      </c>
      <c r="H350" s="7">
        <v>379</v>
      </c>
      <c r="I350" s="7">
        <v>51611</v>
      </c>
      <c r="J350" s="11">
        <v>4.5610431884675749E-2</v>
      </c>
      <c r="K350" s="7">
        <v>45880</v>
      </c>
      <c r="L350" s="7">
        <v>176</v>
      </c>
      <c r="M350" s="6" t="s">
        <v>23</v>
      </c>
      <c r="N350" s="6" t="s">
        <v>22</v>
      </c>
    </row>
    <row r="351" spans="1:14" x14ac:dyDescent="0.25">
      <c r="A351" s="6" t="s">
        <v>279</v>
      </c>
      <c r="B351" s="6" t="s">
        <v>12</v>
      </c>
      <c r="C351" s="9">
        <v>45636</v>
      </c>
      <c r="D351" s="6" t="s">
        <v>48</v>
      </c>
      <c r="E351" s="6" t="s">
        <v>60</v>
      </c>
      <c r="F351" s="7">
        <v>2569</v>
      </c>
      <c r="G351" s="7">
        <v>140</v>
      </c>
      <c r="H351" s="7">
        <v>375</v>
      </c>
      <c r="I351" s="7">
        <v>38372</v>
      </c>
      <c r="J351" s="11">
        <v>8.0371103929948923E-2</v>
      </c>
      <c r="K351" s="7">
        <v>22102</v>
      </c>
      <c r="L351" s="7">
        <v>255</v>
      </c>
      <c r="M351" s="6" t="s">
        <v>23</v>
      </c>
      <c r="N351" s="6" t="s">
        <v>26</v>
      </c>
    </row>
    <row r="352" spans="1:14" x14ac:dyDescent="0.25">
      <c r="A352" s="6" t="s">
        <v>279</v>
      </c>
      <c r="B352" s="6" t="s">
        <v>12</v>
      </c>
      <c r="C352" s="9">
        <v>45636</v>
      </c>
      <c r="D352" s="6" t="s">
        <v>48</v>
      </c>
      <c r="E352" s="6" t="s">
        <v>60</v>
      </c>
      <c r="F352" s="7">
        <v>2569</v>
      </c>
      <c r="G352" s="7">
        <v>140</v>
      </c>
      <c r="H352" s="7">
        <v>375</v>
      </c>
      <c r="I352" s="7">
        <v>38372</v>
      </c>
      <c r="J352" s="11">
        <v>8.0371103929948923E-2</v>
      </c>
      <c r="K352" s="7">
        <v>22102</v>
      </c>
      <c r="L352" s="7">
        <v>255</v>
      </c>
      <c r="M352" s="6" t="s">
        <v>23</v>
      </c>
      <c r="N352" s="6" t="s">
        <v>13</v>
      </c>
    </row>
    <row r="353" spans="1:14" x14ac:dyDescent="0.25">
      <c r="A353" s="6" t="s">
        <v>280</v>
      </c>
      <c r="B353" s="6" t="s">
        <v>17</v>
      </c>
      <c r="C353" s="9">
        <v>45786</v>
      </c>
      <c r="D353" s="6" t="s">
        <v>53</v>
      </c>
      <c r="E353" s="6" t="s">
        <v>58</v>
      </c>
      <c r="F353" s="7">
        <v>2778</v>
      </c>
      <c r="G353" s="7">
        <v>241</v>
      </c>
      <c r="H353" s="7">
        <v>317</v>
      </c>
      <c r="I353" s="7">
        <v>26247</v>
      </c>
      <c r="J353" s="11">
        <v>0.1271002400274317</v>
      </c>
      <c r="K353" s="7">
        <v>20677</v>
      </c>
      <c r="L353" s="7">
        <v>282</v>
      </c>
      <c r="M353" s="6" t="s">
        <v>19</v>
      </c>
      <c r="N353" s="6" t="s">
        <v>14</v>
      </c>
    </row>
    <row r="354" spans="1:14" x14ac:dyDescent="0.25">
      <c r="A354" s="6" t="s">
        <v>280</v>
      </c>
      <c r="B354" s="6" t="s">
        <v>17</v>
      </c>
      <c r="C354" s="9">
        <v>45786</v>
      </c>
      <c r="D354" s="6" t="s">
        <v>53</v>
      </c>
      <c r="E354" s="6" t="s">
        <v>58</v>
      </c>
      <c r="F354" s="7">
        <v>2778</v>
      </c>
      <c r="G354" s="7">
        <v>241</v>
      </c>
      <c r="H354" s="7">
        <v>317</v>
      </c>
      <c r="I354" s="7">
        <v>26247</v>
      </c>
      <c r="J354" s="11">
        <v>0.1271002400274317</v>
      </c>
      <c r="K354" s="7">
        <v>20677</v>
      </c>
      <c r="L354" s="7">
        <v>282</v>
      </c>
      <c r="M354" s="6" t="s">
        <v>19</v>
      </c>
      <c r="N354" s="6" t="s">
        <v>18</v>
      </c>
    </row>
    <row r="355" spans="1:14" x14ac:dyDescent="0.25">
      <c r="A355" s="6" t="s">
        <v>281</v>
      </c>
      <c r="B355" s="6" t="s">
        <v>17</v>
      </c>
      <c r="C355" s="9">
        <v>45829</v>
      </c>
      <c r="D355" s="6" t="s">
        <v>48</v>
      </c>
      <c r="E355" s="6" t="s">
        <v>51</v>
      </c>
      <c r="F355" s="7">
        <v>3611</v>
      </c>
      <c r="G355" s="7">
        <v>127</v>
      </c>
      <c r="H355" s="7">
        <v>139</v>
      </c>
      <c r="I355" s="7">
        <v>44768</v>
      </c>
      <c r="J355" s="11">
        <v>8.6602037169406718E-2</v>
      </c>
      <c r="K355" s="7">
        <v>29435</v>
      </c>
      <c r="L355" s="7">
        <v>178</v>
      </c>
      <c r="M355" s="6" t="s">
        <v>19</v>
      </c>
      <c r="N355" s="6" t="s">
        <v>18</v>
      </c>
    </row>
    <row r="356" spans="1:14" x14ac:dyDescent="0.25">
      <c r="A356" s="6" t="s">
        <v>282</v>
      </c>
      <c r="B356" s="6" t="s">
        <v>17</v>
      </c>
      <c r="C356" s="9">
        <v>45462</v>
      </c>
      <c r="D356" s="6" t="s">
        <v>48</v>
      </c>
      <c r="E356" s="6" t="s">
        <v>60</v>
      </c>
      <c r="F356" s="7">
        <v>1224</v>
      </c>
      <c r="G356" s="7">
        <v>168</v>
      </c>
      <c r="H356" s="7">
        <v>199</v>
      </c>
      <c r="I356" s="7">
        <v>54232</v>
      </c>
      <c r="J356" s="11">
        <v>2.9336922849977874E-2</v>
      </c>
      <c r="K356" s="7">
        <v>52844</v>
      </c>
      <c r="L356" s="7">
        <v>271</v>
      </c>
      <c r="M356" s="6" t="s">
        <v>23</v>
      </c>
      <c r="N356" s="6" t="s">
        <v>22</v>
      </c>
    </row>
    <row r="357" spans="1:14" x14ac:dyDescent="0.25">
      <c r="A357" s="6" t="s">
        <v>283</v>
      </c>
      <c r="B357" s="6" t="s">
        <v>17</v>
      </c>
      <c r="C357" s="9">
        <v>45636</v>
      </c>
      <c r="D357" s="6" t="s">
        <v>48</v>
      </c>
      <c r="E357" s="6" t="s">
        <v>71</v>
      </c>
      <c r="F357" s="7">
        <v>4673</v>
      </c>
      <c r="G357" s="7">
        <v>270</v>
      </c>
      <c r="H357" s="7">
        <v>93</v>
      </c>
      <c r="I357" s="7">
        <v>45260</v>
      </c>
      <c r="J357" s="11">
        <v>0.11126822801590809</v>
      </c>
      <c r="K357" s="7">
        <v>57513</v>
      </c>
      <c r="L357" s="7">
        <v>103</v>
      </c>
      <c r="M357" s="6" t="s">
        <v>19</v>
      </c>
      <c r="N357" s="6" t="s">
        <v>18</v>
      </c>
    </row>
    <row r="358" spans="1:14" x14ac:dyDescent="0.25">
      <c r="A358" s="6" t="s">
        <v>284</v>
      </c>
      <c r="B358" s="6" t="s">
        <v>12</v>
      </c>
      <c r="C358" s="9">
        <v>45323</v>
      </c>
      <c r="D358" s="6" t="s">
        <v>48</v>
      </c>
      <c r="E358" s="6" t="s">
        <v>56</v>
      </c>
      <c r="F358" s="7">
        <v>1432</v>
      </c>
      <c r="G358" s="7">
        <v>437</v>
      </c>
      <c r="H358" s="7">
        <v>267</v>
      </c>
      <c r="I358" s="7">
        <v>40634</v>
      </c>
      <c r="J358" s="11">
        <v>5.2566815966924252E-2</v>
      </c>
      <c r="K358" s="7">
        <v>54511</v>
      </c>
      <c r="L358" s="7">
        <v>197</v>
      </c>
      <c r="M358" s="6" t="s">
        <v>23</v>
      </c>
      <c r="N358" s="6" t="s">
        <v>26</v>
      </c>
    </row>
    <row r="359" spans="1:14" x14ac:dyDescent="0.25">
      <c r="A359" s="6" t="s">
        <v>284</v>
      </c>
      <c r="B359" s="6" t="s">
        <v>12</v>
      </c>
      <c r="C359" s="9">
        <v>45323</v>
      </c>
      <c r="D359" s="6" t="s">
        <v>48</v>
      </c>
      <c r="E359" s="6" t="s">
        <v>56</v>
      </c>
      <c r="F359" s="7">
        <v>1432</v>
      </c>
      <c r="G359" s="7">
        <v>437</v>
      </c>
      <c r="H359" s="7">
        <v>267</v>
      </c>
      <c r="I359" s="7">
        <v>40634</v>
      </c>
      <c r="J359" s="11">
        <v>5.2566815966924252E-2</v>
      </c>
      <c r="K359" s="7">
        <v>54511</v>
      </c>
      <c r="L359" s="7">
        <v>197</v>
      </c>
      <c r="M359" s="6" t="s">
        <v>23</v>
      </c>
      <c r="N359" s="6" t="s">
        <v>13</v>
      </c>
    </row>
    <row r="360" spans="1:14" x14ac:dyDescent="0.25">
      <c r="A360" s="6" t="s">
        <v>285</v>
      </c>
      <c r="B360" s="6" t="s">
        <v>17</v>
      </c>
      <c r="C360" s="9">
        <v>45308</v>
      </c>
      <c r="D360" s="6" t="s">
        <v>53</v>
      </c>
      <c r="E360" s="6" t="s">
        <v>54</v>
      </c>
      <c r="F360" s="7">
        <v>2174</v>
      </c>
      <c r="G360" s="7">
        <v>499</v>
      </c>
      <c r="H360" s="7">
        <v>212</v>
      </c>
      <c r="I360" s="7">
        <v>54938</v>
      </c>
      <c r="J360" s="11">
        <v>5.2513742764570971E-2</v>
      </c>
      <c r="K360" s="7">
        <v>27190</v>
      </c>
      <c r="L360" s="7">
        <v>265</v>
      </c>
      <c r="M360" s="6" t="s">
        <v>19</v>
      </c>
      <c r="N360" s="6" t="s">
        <v>14</v>
      </c>
    </row>
    <row r="361" spans="1:14" x14ac:dyDescent="0.25">
      <c r="A361" s="6" t="s">
        <v>285</v>
      </c>
      <c r="B361" s="6" t="s">
        <v>17</v>
      </c>
      <c r="C361" s="9">
        <v>45308</v>
      </c>
      <c r="D361" s="6" t="s">
        <v>53</v>
      </c>
      <c r="E361" s="6" t="s">
        <v>54</v>
      </c>
      <c r="F361" s="7">
        <v>2174</v>
      </c>
      <c r="G361" s="7">
        <v>499</v>
      </c>
      <c r="H361" s="7">
        <v>212</v>
      </c>
      <c r="I361" s="7">
        <v>54938</v>
      </c>
      <c r="J361" s="11">
        <v>5.2513742764570971E-2</v>
      </c>
      <c r="K361" s="7">
        <v>27190</v>
      </c>
      <c r="L361" s="7">
        <v>265</v>
      </c>
      <c r="M361" s="6" t="s">
        <v>19</v>
      </c>
      <c r="N361" s="6" t="s">
        <v>18</v>
      </c>
    </row>
    <row r="362" spans="1:14" x14ac:dyDescent="0.25">
      <c r="A362" s="6" t="s">
        <v>286</v>
      </c>
      <c r="B362" s="6" t="s">
        <v>12</v>
      </c>
      <c r="C362" s="9">
        <v>45738</v>
      </c>
      <c r="D362" s="6" t="s">
        <v>48</v>
      </c>
      <c r="E362" s="6" t="s">
        <v>58</v>
      </c>
      <c r="F362" s="7">
        <v>4308</v>
      </c>
      <c r="G362" s="7">
        <v>171</v>
      </c>
      <c r="H362" s="7">
        <v>106</v>
      </c>
      <c r="I362" s="7">
        <v>36955</v>
      </c>
      <c r="J362" s="11">
        <v>0.12406981463942633</v>
      </c>
      <c r="K362" s="7">
        <v>23949</v>
      </c>
      <c r="L362" s="7">
        <v>294</v>
      </c>
      <c r="M362" s="6" t="s">
        <v>23</v>
      </c>
      <c r="N362" s="6" t="s">
        <v>26</v>
      </c>
    </row>
    <row r="363" spans="1:14" x14ac:dyDescent="0.25">
      <c r="A363" s="6" t="s">
        <v>286</v>
      </c>
      <c r="B363" s="6" t="s">
        <v>12</v>
      </c>
      <c r="C363" s="9">
        <v>45738</v>
      </c>
      <c r="D363" s="6" t="s">
        <v>48</v>
      </c>
      <c r="E363" s="6" t="s">
        <v>58</v>
      </c>
      <c r="F363" s="7">
        <v>4308</v>
      </c>
      <c r="G363" s="7">
        <v>171</v>
      </c>
      <c r="H363" s="7">
        <v>106</v>
      </c>
      <c r="I363" s="7">
        <v>36955</v>
      </c>
      <c r="J363" s="11">
        <v>0.12406981463942633</v>
      </c>
      <c r="K363" s="7">
        <v>23949</v>
      </c>
      <c r="L363" s="7">
        <v>294</v>
      </c>
      <c r="M363" s="6" t="s">
        <v>23</v>
      </c>
      <c r="N363" s="6" t="s">
        <v>13</v>
      </c>
    </row>
    <row r="364" spans="1:14" x14ac:dyDescent="0.25">
      <c r="A364" s="6" t="s">
        <v>287</v>
      </c>
      <c r="B364" s="6" t="s">
        <v>12</v>
      </c>
      <c r="C364" s="9">
        <v>45442</v>
      </c>
      <c r="D364" s="6" t="s">
        <v>78</v>
      </c>
      <c r="E364" s="6" t="s">
        <v>60</v>
      </c>
      <c r="F364" s="7">
        <v>1060</v>
      </c>
      <c r="G364" s="7">
        <v>442</v>
      </c>
      <c r="H364" s="7">
        <v>319</v>
      </c>
      <c r="I364" s="7">
        <v>57194</v>
      </c>
      <c r="J364" s="11">
        <v>3.1839004091338254E-2</v>
      </c>
      <c r="K364" s="7">
        <v>24258</v>
      </c>
      <c r="L364" s="7">
        <v>101</v>
      </c>
      <c r="M364" s="6" t="s">
        <v>9</v>
      </c>
      <c r="N364" s="6" t="s">
        <v>26</v>
      </c>
    </row>
    <row r="365" spans="1:14" x14ac:dyDescent="0.25">
      <c r="A365" s="6" t="s">
        <v>287</v>
      </c>
      <c r="B365" s="6" t="s">
        <v>12</v>
      </c>
      <c r="C365" s="9">
        <v>45442</v>
      </c>
      <c r="D365" s="6" t="s">
        <v>78</v>
      </c>
      <c r="E365" s="6" t="s">
        <v>60</v>
      </c>
      <c r="F365" s="7">
        <v>1060</v>
      </c>
      <c r="G365" s="7">
        <v>442</v>
      </c>
      <c r="H365" s="7">
        <v>319</v>
      </c>
      <c r="I365" s="7">
        <v>57194</v>
      </c>
      <c r="J365" s="11">
        <v>3.1839004091338254E-2</v>
      </c>
      <c r="K365" s="7">
        <v>24258</v>
      </c>
      <c r="L365" s="7">
        <v>101</v>
      </c>
      <c r="M365" s="6" t="s">
        <v>9</v>
      </c>
      <c r="N365" s="6" t="s">
        <v>22</v>
      </c>
    </row>
    <row r="366" spans="1:14" x14ac:dyDescent="0.25">
      <c r="A366" s="6" t="s">
        <v>288</v>
      </c>
      <c r="B366" s="6" t="s">
        <v>12</v>
      </c>
      <c r="C366" s="9">
        <v>45346</v>
      </c>
      <c r="D366" s="6" t="s">
        <v>48</v>
      </c>
      <c r="E366" s="6" t="s">
        <v>58</v>
      </c>
      <c r="F366" s="7">
        <v>4653</v>
      </c>
      <c r="G366" s="7">
        <v>226</v>
      </c>
      <c r="H366" s="7">
        <v>349</v>
      </c>
      <c r="I366" s="7">
        <v>56876</v>
      </c>
      <c r="J366" s="11">
        <v>9.191926295801392E-2</v>
      </c>
      <c r="K366" s="7">
        <v>28452</v>
      </c>
      <c r="L366" s="7">
        <v>257</v>
      </c>
      <c r="M366" s="6" t="s">
        <v>23</v>
      </c>
      <c r="N366" s="6" t="s">
        <v>26</v>
      </c>
    </row>
    <row r="367" spans="1:14" x14ac:dyDescent="0.25">
      <c r="A367" s="6" t="s">
        <v>288</v>
      </c>
      <c r="B367" s="6" t="s">
        <v>12</v>
      </c>
      <c r="C367" s="9">
        <v>45346</v>
      </c>
      <c r="D367" s="6" t="s">
        <v>48</v>
      </c>
      <c r="E367" s="6" t="s">
        <v>58</v>
      </c>
      <c r="F367" s="7">
        <v>4653</v>
      </c>
      <c r="G367" s="7">
        <v>226</v>
      </c>
      <c r="H367" s="7">
        <v>349</v>
      </c>
      <c r="I367" s="7">
        <v>56876</v>
      </c>
      <c r="J367" s="11">
        <v>9.191926295801392E-2</v>
      </c>
      <c r="K367" s="7">
        <v>28452</v>
      </c>
      <c r="L367" s="7">
        <v>257</v>
      </c>
      <c r="M367" s="6" t="s">
        <v>23</v>
      </c>
      <c r="N367" s="6" t="s">
        <v>13</v>
      </c>
    </row>
    <row r="368" spans="1:14" x14ac:dyDescent="0.25">
      <c r="A368" s="6" t="s">
        <v>289</v>
      </c>
      <c r="B368" s="6" t="s">
        <v>12</v>
      </c>
      <c r="C368" s="9">
        <v>45791</v>
      </c>
      <c r="D368" s="6" t="s">
        <v>48</v>
      </c>
      <c r="E368" s="6" t="s">
        <v>49</v>
      </c>
      <c r="F368" s="7">
        <v>1701</v>
      </c>
      <c r="G368" s="7">
        <v>272</v>
      </c>
      <c r="H368" s="7">
        <v>385</v>
      </c>
      <c r="I368" s="7">
        <v>47496</v>
      </c>
      <c r="J368" s="11">
        <v>4.9646286003031836E-2</v>
      </c>
      <c r="K368" s="7">
        <v>40832</v>
      </c>
      <c r="L368" s="7">
        <v>246</v>
      </c>
      <c r="M368" s="6" t="s">
        <v>23</v>
      </c>
      <c r="N368" s="6" t="s">
        <v>26</v>
      </c>
    </row>
    <row r="369" spans="1:14" x14ac:dyDescent="0.25">
      <c r="A369" s="6" t="s">
        <v>289</v>
      </c>
      <c r="B369" s="6" t="s">
        <v>12</v>
      </c>
      <c r="C369" s="9">
        <v>45791</v>
      </c>
      <c r="D369" s="6" t="s">
        <v>48</v>
      </c>
      <c r="E369" s="6" t="s">
        <v>49</v>
      </c>
      <c r="F369" s="7">
        <v>1701</v>
      </c>
      <c r="G369" s="7">
        <v>272</v>
      </c>
      <c r="H369" s="7">
        <v>385</v>
      </c>
      <c r="I369" s="7">
        <v>47496</v>
      </c>
      <c r="J369" s="11">
        <v>4.9646286003031836E-2</v>
      </c>
      <c r="K369" s="7">
        <v>40832</v>
      </c>
      <c r="L369" s="7">
        <v>246</v>
      </c>
      <c r="M369" s="6" t="s">
        <v>23</v>
      </c>
      <c r="N369" s="6" t="s">
        <v>13</v>
      </c>
    </row>
    <row r="370" spans="1:14" x14ac:dyDescent="0.25">
      <c r="A370" s="6" t="s">
        <v>290</v>
      </c>
      <c r="B370" s="6" t="s">
        <v>11</v>
      </c>
      <c r="C370" s="9">
        <v>45379</v>
      </c>
      <c r="D370" s="6" t="s">
        <v>48</v>
      </c>
      <c r="E370" s="6" t="s">
        <v>60</v>
      </c>
      <c r="F370" s="7">
        <v>1673</v>
      </c>
      <c r="G370" s="7">
        <v>280</v>
      </c>
      <c r="H370" s="7">
        <v>67</v>
      </c>
      <c r="I370" s="7">
        <v>29847</v>
      </c>
      <c r="J370" s="11">
        <v>6.76784936509532E-2</v>
      </c>
      <c r="K370" s="7">
        <v>48016</v>
      </c>
      <c r="L370" s="7">
        <v>213</v>
      </c>
      <c r="M370" s="6" t="s">
        <v>19</v>
      </c>
      <c r="N370" s="6" t="s">
        <v>22</v>
      </c>
    </row>
    <row r="371" spans="1:14" x14ac:dyDescent="0.25">
      <c r="A371" s="6" t="s">
        <v>290</v>
      </c>
      <c r="B371" s="6" t="s">
        <v>11</v>
      </c>
      <c r="C371" s="9">
        <v>45379</v>
      </c>
      <c r="D371" s="6" t="s">
        <v>48</v>
      </c>
      <c r="E371" s="6" t="s">
        <v>60</v>
      </c>
      <c r="F371" s="7">
        <v>1673</v>
      </c>
      <c r="G371" s="7">
        <v>280</v>
      </c>
      <c r="H371" s="7">
        <v>67</v>
      </c>
      <c r="I371" s="7">
        <v>29847</v>
      </c>
      <c r="J371" s="11">
        <v>6.76784936509532E-2</v>
      </c>
      <c r="K371" s="7">
        <v>48016</v>
      </c>
      <c r="L371" s="7">
        <v>213</v>
      </c>
      <c r="M371" s="6" t="s">
        <v>19</v>
      </c>
      <c r="N371" s="6" t="s">
        <v>18</v>
      </c>
    </row>
    <row r="372" spans="1:14" x14ac:dyDescent="0.25">
      <c r="A372" s="6" t="s">
        <v>291</v>
      </c>
      <c r="B372" s="6" t="s">
        <v>12</v>
      </c>
      <c r="C372" s="9">
        <v>45723</v>
      </c>
      <c r="D372" s="6" t="s">
        <v>48</v>
      </c>
      <c r="E372" s="6" t="s">
        <v>65</v>
      </c>
      <c r="F372" s="7">
        <v>4310</v>
      </c>
      <c r="G372" s="7">
        <v>284</v>
      </c>
      <c r="H372" s="7">
        <v>306</v>
      </c>
      <c r="I372" s="7">
        <v>44606</v>
      </c>
      <c r="J372" s="11">
        <v>0.10985069273191947</v>
      </c>
      <c r="K372" s="7">
        <v>42604</v>
      </c>
      <c r="L372" s="7">
        <v>290</v>
      </c>
      <c r="M372" s="6" t="s">
        <v>23</v>
      </c>
      <c r="N372" s="6" t="s">
        <v>26</v>
      </c>
    </row>
    <row r="373" spans="1:14" x14ac:dyDescent="0.25">
      <c r="A373" s="6" t="s">
        <v>291</v>
      </c>
      <c r="B373" s="6" t="s">
        <v>12</v>
      </c>
      <c r="C373" s="9">
        <v>45723</v>
      </c>
      <c r="D373" s="6" t="s">
        <v>48</v>
      </c>
      <c r="E373" s="6" t="s">
        <v>65</v>
      </c>
      <c r="F373" s="7">
        <v>4310</v>
      </c>
      <c r="G373" s="7">
        <v>284</v>
      </c>
      <c r="H373" s="7">
        <v>306</v>
      </c>
      <c r="I373" s="7">
        <v>44606</v>
      </c>
      <c r="J373" s="11">
        <v>0.10985069273191947</v>
      </c>
      <c r="K373" s="7">
        <v>42604</v>
      </c>
      <c r="L373" s="7">
        <v>290</v>
      </c>
      <c r="M373" s="6" t="s">
        <v>23</v>
      </c>
      <c r="N373" s="6" t="s">
        <v>13</v>
      </c>
    </row>
    <row r="374" spans="1:14" x14ac:dyDescent="0.25">
      <c r="A374" s="6" t="s">
        <v>292</v>
      </c>
      <c r="B374" s="6" t="s">
        <v>17</v>
      </c>
      <c r="C374" s="9">
        <v>45585</v>
      </c>
      <c r="D374" s="6" t="s">
        <v>48</v>
      </c>
      <c r="E374" s="6" t="s">
        <v>71</v>
      </c>
      <c r="F374" s="7">
        <v>2752</v>
      </c>
      <c r="G374" s="7">
        <v>309</v>
      </c>
      <c r="H374" s="7">
        <v>91</v>
      </c>
      <c r="I374" s="7">
        <v>39038</v>
      </c>
      <c r="J374" s="11">
        <v>8.0741841282852611E-2</v>
      </c>
      <c r="K374" s="7">
        <v>28095</v>
      </c>
      <c r="L374" s="7">
        <v>277</v>
      </c>
      <c r="M374" s="6" t="s">
        <v>19</v>
      </c>
      <c r="N374" s="6" t="s">
        <v>18</v>
      </c>
    </row>
    <row r="375" spans="1:14" x14ac:dyDescent="0.25">
      <c r="A375" s="6" t="s">
        <v>293</v>
      </c>
      <c r="B375" s="6" t="s">
        <v>17</v>
      </c>
      <c r="C375" s="9">
        <v>45324</v>
      </c>
      <c r="D375" s="6" t="s">
        <v>48</v>
      </c>
      <c r="E375" s="6" t="s">
        <v>71</v>
      </c>
      <c r="F375" s="7">
        <v>3818</v>
      </c>
      <c r="G375" s="7">
        <v>115</v>
      </c>
      <c r="H375" s="7">
        <v>286</v>
      </c>
      <c r="I375" s="7">
        <v>25127</v>
      </c>
      <c r="J375" s="11">
        <v>0.16790703227603773</v>
      </c>
      <c r="K375" s="7">
        <v>22277</v>
      </c>
      <c r="L375" s="7">
        <v>263</v>
      </c>
      <c r="M375" s="6" t="s">
        <v>19</v>
      </c>
      <c r="N375" s="6" t="s">
        <v>18</v>
      </c>
    </row>
    <row r="376" spans="1:14" x14ac:dyDescent="0.25">
      <c r="A376" s="6" t="s">
        <v>294</v>
      </c>
      <c r="B376" s="6" t="s">
        <v>12</v>
      </c>
      <c r="C376" s="9">
        <v>45542</v>
      </c>
      <c r="D376" s="6" t="s">
        <v>48</v>
      </c>
      <c r="E376" s="6" t="s">
        <v>73</v>
      </c>
      <c r="F376" s="7">
        <v>2101</v>
      </c>
      <c r="G376" s="7">
        <v>411</v>
      </c>
      <c r="H376" s="7">
        <v>190</v>
      </c>
      <c r="I376" s="7">
        <v>41791</v>
      </c>
      <c r="J376" s="11">
        <v>6.4655069273288512E-2</v>
      </c>
      <c r="K376" s="7">
        <v>57090</v>
      </c>
      <c r="L376" s="7">
        <v>172</v>
      </c>
      <c r="M376" s="6" t="s">
        <v>23</v>
      </c>
      <c r="N376" s="6" t="s">
        <v>26</v>
      </c>
    </row>
    <row r="377" spans="1:14" x14ac:dyDescent="0.25">
      <c r="A377" s="6" t="s">
        <v>294</v>
      </c>
      <c r="B377" s="6" t="s">
        <v>12</v>
      </c>
      <c r="C377" s="9">
        <v>45542</v>
      </c>
      <c r="D377" s="6" t="s">
        <v>48</v>
      </c>
      <c r="E377" s="6" t="s">
        <v>73</v>
      </c>
      <c r="F377" s="7">
        <v>2101</v>
      </c>
      <c r="G377" s="7">
        <v>411</v>
      </c>
      <c r="H377" s="7">
        <v>190</v>
      </c>
      <c r="I377" s="7">
        <v>41791</v>
      </c>
      <c r="J377" s="11">
        <v>6.4655069273288512E-2</v>
      </c>
      <c r="K377" s="7">
        <v>57090</v>
      </c>
      <c r="L377" s="7">
        <v>172</v>
      </c>
      <c r="M377" s="6" t="s">
        <v>23</v>
      </c>
      <c r="N377" s="6" t="s">
        <v>13</v>
      </c>
    </row>
    <row r="378" spans="1:14" x14ac:dyDescent="0.25">
      <c r="A378" s="6" t="s">
        <v>295</v>
      </c>
      <c r="B378" s="6" t="s">
        <v>11</v>
      </c>
      <c r="C378" s="9">
        <v>45646</v>
      </c>
      <c r="D378" s="6" t="s">
        <v>48</v>
      </c>
      <c r="E378" s="6" t="s">
        <v>49</v>
      </c>
      <c r="F378" s="7">
        <v>2519</v>
      </c>
      <c r="G378" s="7">
        <v>202</v>
      </c>
      <c r="H378" s="7">
        <v>239</v>
      </c>
      <c r="I378" s="7">
        <v>36245</v>
      </c>
      <c r="J378" s="11">
        <v>8.1666436749896543E-2</v>
      </c>
      <c r="K378" s="7">
        <v>48606</v>
      </c>
      <c r="L378" s="7">
        <v>145</v>
      </c>
      <c r="M378" s="6" t="s">
        <v>23</v>
      </c>
      <c r="N378" s="6" t="s">
        <v>26</v>
      </c>
    </row>
    <row r="379" spans="1:14" x14ac:dyDescent="0.25">
      <c r="A379" s="6" t="s">
        <v>296</v>
      </c>
      <c r="B379" s="6" t="s">
        <v>12</v>
      </c>
      <c r="C379" s="9">
        <v>45305</v>
      </c>
      <c r="D379" s="6" t="s">
        <v>48</v>
      </c>
      <c r="E379" s="6" t="s">
        <v>60</v>
      </c>
      <c r="F379" s="7">
        <v>4502</v>
      </c>
      <c r="G379" s="7">
        <v>238</v>
      </c>
      <c r="H379" s="7">
        <v>386</v>
      </c>
      <c r="I379" s="7">
        <v>39198</v>
      </c>
      <c r="J379" s="11">
        <v>0.13077197816215114</v>
      </c>
      <c r="K379" s="7">
        <v>25050</v>
      </c>
      <c r="L379" s="7">
        <v>297</v>
      </c>
      <c r="M379" s="6" t="s">
        <v>23</v>
      </c>
      <c r="N379" s="6" t="s">
        <v>26</v>
      </c>
    </row>
    <row r="380" spans="1:14" x14ac:dyDescent="0.25">
      <c r="A380" s="6" t="s">
        <v>296</v>
      </c>
      <c r="B380" s="6" t="s">
        <v>12</v>
      </c>
      <c r="C380" s="9">
        <v>45305</v>
      </c>
      <c r="D380" s="6" t="s">
        <v>48</v>
      </c>
      <c r="E380" s="6" t="s">
        <v>60</v>
      </c>
      <c r="F380" s="7">
        <v>4502</v>
      </c>
      <c r="G380" s="7">
        <v>238</v>
      </c>
      <c r="H380" s="7">
        <v>386</v>
      </c>
      <c r="I380" s="7">
        <v>39198</v>
      </c>
      <c r="J380" s="11">
        <v>0.13077197816215114</v>
      </c>
      <c r="K380" s="7">
        <v>25050</v>
      </c>
      <c r="L380" s="7">
        <v>297</v>
      </c>
      <c r="M380" s="6" t="s">
        <v>23</v>
      </c>
      <c r="N380" s="6" t="s">
        <v>13</v>
      </c>
    </row>
    <row r="381" spans="1:14" x14ac:dyDescent="0.25">
      <c r="A381" s="6" t="s">
        <v>297</v>
      </c>
      <c r="B381" s="6" t="s">
        <v>11</v>
      </c>
      <c r="C381" s="9">
        <v>45823</v>
      </c>
      <c r="D381" s="6" t="s">
        <v>48</v>
      </c>
      <c r="E381" s="6" t="s">
        <v>51</v>
      </c>
      <c r="F381" s="7">
        <v>2478</v>
      </c>
      <c r="G381" s="7">
        <v>427</v>
      </c>
      <c r="H381" s="7">
        <v>242</v>
      </c>
      <c r="I381" s="7">
        <v>59272</v>
      </c>
      <c r="J381" s="11">
        <v>5.3094209744904843E-2</v>
      </c>
      <c r="K381" s="7">
        <v>37833</v>
      </c>
      <c r="L381" s="7">
        <v>214</v>
      </c>
      <c r="M381" s="6" t="s">
        <v>19</v>
      </c>
      <c r="N381" s="6" t="s">
        <v>22</v>
      </c>
    </row>
    <row r="382" spans="1:14" x14ac:dyDescent="0.25">
      <c r="A382" s="6" t="s">
        <v>297</v>
      </c>
      <c r="B382" s="6" t="s">
        <v>11</v>
      </c>
      <c r="C382" s="9">
        <v>45823</v>
      </c>
      <c r="D382" s="6" t="s">
        <v>48</v>
      </c>
      <c r="E382" s="6" t="s">
        <v>51</v>
      </c>
      <c r="F382" s="7">
        <v>2478</v>
      </c>
      <c r="G382" s="7">
        <v>427</v>
      </c>
      <c r="H382" s="7">
        <v>242</v>
      </c>
      <c r="I382" s="7">
        <v>59272</v>
      </c>
      <c r="J382" s="11">
        <v>5.3094209744904843E-2</v>
      </c>
      <c r="K382" s="7">
        <v>37833</v>
      </c>
      <c r="L382" s="7">
        <v>214</v>
      </c>
      <c r="M382" s="6" t="s">
        <v>19</v>
      </c>
      <c r="N382" s="6" t="s">
        <v>18</v>
      </c>
    </row>
    <row r="383" spans="1:14" x14ac:dyDescent="0.25">
      <c r="A383" s="6" t="s">
        <v>298</v>
      </c>
      <c r="B383" s="6" t="s">
        <v>17</v>
      </c>
      <c r="C383" s="9">
        <v>45639</v>
      </c>
      <c r="D383" s="6" t="s">
        <v>53</v>
      </c>
      <c r="E383" s="6" t="s">
        <v>54</v>
      </c>
      <c r="F383" s="7">
        <v>4984</v>
      </c>
      <c r="G383" s="7">
        <v>300</v>
      </c>
      <c r="H383" s="7">
        <v>338</v>
      </c>
      <c r="I383" s="7">
        <v>32900</v>
      </c>
      <c r="J383" s="11">
        <v>0.17088145896656534</v>
      </c>
      <c r="K383" s="7">
        <v>31691</v>
      </c>
      <c r="L383" s="7">
        <v>160</v>
      </c>
      <c r="M383" s="6" t="s">
        <v>19</v>
      </c>
      <c r="N383" s="6" t="s">
        <v>14</v>
      </c>
    </row>
    <row r="384" spans="1:14" x14ac:dyDescent="0.25">
      <c r="A384" s="6" t="s">
        <v>298</v>
      </c>
      <c r="B384" s="6" t="s">
        <v>17</v>
      </c>
      <c r="C384" s="9">
        <v>45639</v>
      </c>
      <c r="D384" s="6" t="s">
        <v>53</v>
      </c>
      <c r="E384" s="6" t="s">
        <v>54</v>
      </c>
      <c r="F384" s="7">
        <v>4984</v>
      </c>
      <c r="G384" s="7">
        <v>300</v>
      </c>
      <c r="H384" s="7">
        <v>338</v>
      </c>
      <c r="I384" s="7">
        <v>32900</v>
      </c>
      <c r="J384" s="11">
        <v>0.17088145896656534</v>
      </c>
      <c r="K384" s="7">
        <v>31691</v>
      </c>
      <c r="L384" s="7">
        <v>160</v>
      </c>
      <c r="M384" s="6" t="s">
        <v>19</v>
      </c>
      <c r="N384" s="6" t="s">
        <v>18</v>
      </c>
    </row>
    <row r="385" spans="1:14" x14ac:dyDescent="0.25">
      <c r="A385" s="6" t="s">
        <v>299</v>
      </c>
      <c r="B385" s="6" t="s">
        <v>12</v>
      </c>
      <c r="C385" s="9">
        <v>45533</v>
      </c>
      <c r="D385" s="6" t="s">
        <v>48</v>
      </c>
      <c r="E385" s="6" t="s">
        <v>56</v>
      </c>
      <c r="F385" s="7">
        <v>4774</v>
      </c>
      <c r="G385" s="7">
        <v>389</v>
      </c>
      <c r="H385" s="7">
        <v>358</v>
      </c>
      <c r="I385" s="7">
        <v>52346</v>
      </c>
      <c r="J385" s="11">
        <v>0.10547128720437092</v>
      </c>
      <c r="K385" s="7">
        <v>30518</v>
      </c>
      <c r="L385" s="7">
        <v>277</v>
      </c>
      <c r="M385" s="6" t="s">
        <v>23</v>
      </c>
      <c r="N385" s="6" t="s">
        <v>26</v>
      </c>
    </row>
    <row r="386" spans="1:14" x14ac:dyDescent="0.25">
      <c r="A386" s="6" t="s">
        <v>299</v>
      </c>
      <c r="B386" s="6" t="s">
        <v>12</v>
      </c>
      <c r="C386" s="9">
        <v>45533</v>
      </c>
      <c r="D386" s="6" t="s">
        <v>48</v>
      </c>
      <c r="E386" s="6" t="s">
        <v>56</v>
      </c>
      <c r="F386" s="7">
        <v>4774</v>
      </c>
      <c r="G386" s="7">
        <v>389</v>
      </c>
      <c r="H386" s="7">
        <v>358</v>
      </c>
      <c r="I386" s="7">
        <v>52346</v>
      </c>
      <c r="J386" s="11">
        <v>0.10547128720437092</v>
      </c>
      <c r="K386" s="7">
        <v>30518</v>
      </c>
      <c r="L386" s="7">
        <v>277</v>
      </c>
      <c r="M386" s="6" t="s">
        <v>23</v>
      </c>
      <c r="N386" s="6" t="s">
        <v>13</v>
      </c>
    </row>
    <row r="387" spans="1:14" x14ac:dyDescent="0.25">
      <c r="A387" s="6" t="s">
        <v>300</v>
      </c>
      <c r="B387" s="6" t="s">
        <v>17</v>
      </c>
      <c r="C387" s="9">
        <v>45550</v>
      </c>
      <c r="D387" s="6" t="s">
        <v>48</v>
      </c>
      <c r="E387" s="6" t="s">
        <v>62</v>
      </c>
      <c r="F387" s="7">
        <v>2145</v>
      </c>
      <c r="G387" s="7">
        <v>340</v>
      </c>
      <c r="H387" s="7">
        <v>85</v>
      </c>
      <c r="I387" s="7">
        <v>53323</v>
      </c>
      <c r="J387" s="11">
        <v>4.819683813738912E-2</v>
      </c>
      <c r="K387" s="7">
        <v>49938</v>
      </c>
      <c r="L387" s="7">
        <v>104</v>
      </c>
      <c r="M387" s="6" t="s">
        <v>19</v>
      </c>
      <c r="N387" s="6" t="s">
        <v>18</v>
      </c>
    </row>
    <row r="388" spans="1:14" x14ac:dyDescent="0.25">
      <c r="A388" s="6" t="s">
        <v>301</v>
      </c>
      <c r="B388" s="6" t="s">
        <v>17</v>
      </c>
      <c r="C388" s="9">
        <v>45759</v>
      </c>
      <c r="D388" s="6" t="s">
        <v>53</v>
      </c>
      <c r="E388" s="6" t="s">
        <v>71</v>
      </c>
      <c r="F388" s="7">
        <v>4315</v>
      </c>
      <c r="G388" s="7">
        <v>208</v>
      </c>
      <c r="H388" s="7">
        <v>273</v>
      </c>
      <c r="I388" s="7">
        <v>35780</v>
      </c>
      <c r="J388" s="11">
        <v>0.13404136389044158</v>
      </c>
      <c r="K388" s="7">
        <v>44349</v>
      </c>
      <c r="L388" s="7">
        <v>133</v>
      </c>
      <c r="M388" s="6" t="s">
        <v>19</v>
      </c>
      <c r="N388" s="6" t="s">
        <v>26</v>
      </c>
    </row>
    <row r="389" spans="1:14" x14ac:dyDescent="0.25">
      <c r="A389" s="6" t="s">
        <v>301</v>
      </c>
      <c r="B389" s="6" t="s">
        <v>17</v>
      </c>
      <c r="C389" s="9">
        <v>45759</v>
      </c>
      <c r="D389" s="6" t="s">
        <v>53</v>
      </c>
      <c r="E389" s="6" t="s">
        <v>71</v>
      </c>
      <c r="F389" s="7">
        <v>4315</v>
      </c>
      <c r="G389" s="7">
        <v>208</v>
      </c>
      <c r="H389" s="7">
        <v>273</v>
      </c>
      <c r="I389" s="7">
        <v>35780</v>
      </c>
      <c r="J389" s="11">
        <v>0.13404136389044158</v>
      </c>
      <c r="K389" s="7">
        <v>44349</v>
      </c>
      <c r="L389" s="7">
        <v>133</v>
      </c>
      <c r="M389" s="6" t="s">
        <v>19</v>
      </c>
      <c r="N389" s="6" t="s">
        <v>14</v>
      </c>
    </row>
    <row r="390" spans="1:14" x14ac:dyDescent="0.25">
      <c r="A390" s="6" t="s">
        <v>302</v>
      </c>
      <c r="B390" s="6" t="s">
        <v>17</v>
      </c>
      <c r="C390" s="9">
        <v>45636</v>
      </c>
      <c r="D390" s="6" t="s">
        <v>53</v>
      </c>
      <c r="E390" s="6" t="s">
        <v>56</v>
      </c>
      <c r="F390" s="7">
        <v>2267</v>
      </c>
      <c r="G390" s="7">
        <v>230</v>
      </c>
      <c r="H390" s="7">
        <v>243</v>
      </c>
      <c r="I390" s="7">
        <v>27904</v>
      </c>
      <c r="J390" s="11">
        <v>9.8193807339449546E-2</v>
      </c>
      <c r="K390" s="7">
        <v>69771</v>
      </c>
      <c r="L390" s="7">
        <v>255</v>
      </c>
      <c r="M390" s="6" t="s">
        <v>19</v>
      </c>
      <c r="N390" s="6" t="s">
        <v>26</v>
      </c>
    </row>
    <row r="391" spans="1:14" x14ac:dyDescent="0.25">
      <c r="A391" s="6" t="s">
        <v>302</v>
      </c>
      <c r="B391" s="6" t="s">
        <v>17</v>
      </c>
      <c r="C391" s="9">
        <v>45636</v>
      </c>
      <c r="D391" s="6" t="s">
        <v>53</v>
      </c>
      <c r="E391" s="6" t="s">
        <v>56</v>
      </c>
      <c r="F391" s="7">
        <v>2267</v>
      </c>
      <c r="G391" s="7">
        <v>230</v>
      </c>
      <c r="H391" s="7">
        <v>243</v>
      </c>
      <c r="I391" s="7">
        <v>27904</v>
      </c>
      <c r="J391" s="11">
        <v>9.8193807339449546E-2</v>
      </c>
      <c r="K391" s="7">
        <v>69771</v>
      </c>
      <c r="L391" s="7">
        <v>255</v>
      </c>
      <c r="M391" s="6" t="s">
        <v>19</v>
      </c>
      <c r="N391" s="6" t="s">
        <v>14</v>
      </c>
    </row>
    <row r="392" spans="1:14" x14ac:dyDescent="0.25">
      <c r="A392" s="6" t="s">
        <v>303</v>
      </c>
      <c r="B392" s="6" t="s">
        <v>12</v>
      </c>
      <c r="C392" s="9">
        <v>45816</v>
      </c>
      <c r="D392" s="6" t="s">
        <v>48</v>
      </c>
      <c r="E392" s="6" t="s">
        <v>58</v>
      </c>
      <c r="F392" s="7">
        <v>4375</v>
      </c>
      <c r="G392" s="7">
        <v>303</v>
      </c>
      <c r="H392" s="7">
        <v>294</v>
      </c>
      <c r="I392" s="7">
        <v>57468</v>
      </c>
      <c r="J392" s="11">
        <v>8.6517714206166912E-2</v>
      </c>
      <c r="K392" s="7">
        <v>53397</v>
      </c>
      <c r="L392" s="7">
        <v>159</v>
      </c>
      <c r="M392" s="6" t="s">
        <v>23</v>
      </c>
      <c r="N392" s="6" t="s">
        <v>26</v>
      </c>
    </row>
    <row r="393" spans="1:14" x14ac:dyDescent="0.25">
      <c r="A393" s="6" t="s">
        <v>303</v>
      </c>
      <c r="B393" s="6" t="s">
        <v>12</v>
      </c>
      <c r="C393" s="9">
        <v>45816</v>
      </c>
      <c r="D393" s="6" t="s">
        <v>48</v>
      </c>
      <c r="E393" s="6" t="s">
        <v>58</v>
      </c>
      <c r="F393" s="7">
        <v>4375</v>
      </c>
      <c r="G393" s="7">
        <v>303</v>
      </c>
      <c r="H393" s="7">
        <v>294</v>
      </c>
      <c r="I393" s="7">
        <v>57468</v>
      </c>
      <c r="J393" s="11">
        <v>8.6517714206166912E-2</v>
      </c>
      <c r="K393" s="7">
        <v>53397</v>
      </c>
      <c r="L393" s="7">
        <v>159</v>
      </c>
      <c r="M393" s="6" t="s">
        <v>23</v>
      </c>
      <c r="N393" s="6" t="s">
        <v>13</v>
      </c>
    </row>
    <row r="394" spans="1:14" x14ac:dyDescent="0.25">
      <c r="A394" s="6" t="s">
        <v>304</v>
      </c>
      <c r="B394" s="6" t="s">
        <v>17</v>
      </c>
      <c r="C394" s="9">
        <v>45666</v>
      </c>
      <c r="D394" s="6" t="s">
        <v>53</v>
      </c>
      <c r="E394" s="6" t="s">
        <v>73</v>
      </c>
      <c r="F394" s="7">
        <v>3817</v>
      </c>
      <c r="G394" s="7">
        <v>284</v>
      </c>
      <c r="H394" s="7">
        <v>204</v>
      </c>
      <c r="I394" s="7">
        <v>46434</v>
      </c>
      <c r="J394" s="11">
        <v>9.2712236723090841E-2</v>
      </c>
      <c r="K394" s="7">
        <v>53396</v>
      </c>
      <c r="L394" s="7">
        <v>104</v>
      </c>
      <c r="M394" s="6" t="s">
        <v>19</v>
      </c>
      <c r="N394" s="6" t="s">
        <v>14</v>
      </c>
    </row>
    <row r="395" spans="1:14" x14ac:dyDescent="0.25">
      <c r="A395" s="6" t="s">
        <v>304</v>
      </c>
      <c r="B395" s="6" t="s">
        <v>17</v>
      </c>
      <c r="C395" s="9">
        <v>45666</v>
      </c>
      <c r="D395" s="6" t="s">
        <v>53</v>
      </c>
      <c r="E395" s="6" t="s">
        <v>73</v>
      </c>
      <c r="F395" s="7">
        <v>3817</v>
      </c>
      <c r="G395" s="7">
        <v>284</v>
      </c>
      <c r="H395" s="7">
        <v>204</v>
      </c>
      <c r="I395" s="7">
        <v>46434</v>
      </c>
      <c r="J395" s="11">
        <v>9.2712236723090841E-2</v>
      </c>
      <c r="K395" s="7">
        <v>53396</v>
      </c>
      <c r="L395" s="7">
        <v>104</v>
      </c>
      <c r="M395" s="6" t="s">
        <v>19</v>
      </c>
      <c r="N395" s="6" t="s">
        <v>18</v>
      </c>
    </row>
    <row r="396" spans="1:14" x14ac:dyDescent="0.25">
      <c r="A396" s="6" t="s">
        <v>305</v>
      </c>
      <c r="B396" s="6" t="s">
        <v>17</v>
      </c>
      <c r="C396" s="9">
        <v>45481</v>
      </c>
      <c r="D396" s="6" t="s">
        <v>53</v>
      </c>
      <c r="E396" s="6" t="s">
        <v>65</v>
      </c>
      <c r="F396" s="7">
        <v>2981</v>
      </c>
      <c r="G396" s="7">
        <v>258</v>
      </c>
      <c r="H396" s="7">
        <v>168</v>
      </c>
      <c r="I396" s="7">
        <v>20677</v>
      </c>
      <c r="J396" s="11">
        <v>0.16477245248343569</v>
      </c>
      <c r="K396" s="7">
        <v>68290</v>
      </c>
      <c r="L396" s="7">
        <v>130</v>
      </c>
      <c r="M396" s="6" t="s">
        <v>19</v>
      </c>
      <c r="N396" s="6" t="s">
        <v>22</v>
      </c>
    </row>
    <row r="397" spans="1:14" x14ac:dyDescent="0.25">
      <c r="A397" s="6" t="s">
        <v>305</v>
      </c>
      <c r="B397" s="6" t="s">
        <v>17</v>
      </c>
      <c r="C397" s="9">
        <v>45481</v>
      </c>
      <c r="D397" s="6" t="s">
        <v>53</v>
      </c>
      <c r="E397" s="6" t="s">
        <v>65</v>
      </c>
      <c r="F397" s="7">
        <v>2981</v>
      </c>
      <c r="G397" s="7">
        <v>258</v>
      </c>
      <c r="H397" s="7">
        <v>168</v>
      </c>
      <c r="I397" s="7">
        <v>20677</v>
      </c>
      <c r="J397" s="11">
        <v>0.16477245248343569</v>
      </c>
      <c r="K397" s="7">
        <v>68290</v>
      </c>
      <c r="L397" s="7">
        <v>130</v>
      </c>
      <c r="M397" s="6" t="s">
        <v>19</v>
      </c>
      <c r="N397" s="6" t="s">
        <v>18</v>
      </c>
    </row>
    <row r="398" spans="1:14" x14ac:dyDescent="0.25">
      <c r="A398" s="6" t="s">
        <v>306</v>
      </c>
      <c r="B398" s="6" t="s">
        <v>17</v>
      </c>
      <c r="C398" s="9">
        <v>45551</v>
      </c>
      <c r="D398" s="6" t="s">
        <v>53</v>
      </c>
      <c r="E398" s="6" t="s">
        <v>73</v>
      </c>
      <c r="F398" s="7">
        <v>3300</v>
      </c>
      <c r="G398" s="7">
        <v>354</v>
      </c>
      <c r="H398" s="7">
        <v>397</v>
      </c>
      <c r="I398" s="7">
        <v>56773</v>
      </c>
      <c r="J398" s="11">
        <v>7.1354340971940891E-2</v>
      </c>
      <c r="K398" s="7">
        <v>72110</v>
      </c>
      <c r="L398" s="7">
        <v>163</v>
      </c>
      <c r="M398" s="6" t="s">
        <v>19</v>
      </c>
      <c r="N398" s="6" t="s">
        <v>26</v>
      </c>
    </row>
    <row r="399" spans="1:14" x14ac:dyDescent="0.25">
      <c r="A399" s="6" t="s">
        <v>306</v>
      </c>
      <c r="B399" s="6" t="s">
        <v>17</v>
      </c>
      <c r="C399" s="9">
        <v>45551</v>
      </c>
      <c r="D399" s="6" t="s">
        <v>53</v>
      </c>
      <c r="E399" s="6" t="s">
        <v>73</v>
      </c>
      <c r="F399" s="7">
        <v>3300</v>
      </c>
      <c r="G399" s="7">
        <v>354</v>
      </c>
      <c r="H399" s="7">
        <v>397</v>
      </c>
      <c r="I399" s="7">
        <v>56773</v>
      </c>
      <c r="J399" s="11">
        <v>7.1354340971940891E-2</v>
      </c>
      <c r="K399" s="7">
        <v>72110</v>
      </c>
      <c r="L399" s="7">
        <v>163</v>
      </c>
      <c r="M399" s="6" t="s">
        <v>19</v>
      </c>
      <c r="N399" s="6" t="s">
        <v>14</v>
      </c>
    </row>
    <row r="400" spans="1:14" x14ac:dyDescent="0.25">
      <c r="A400" s="6" t="s">
        <v>307</v>
      </c>
      <c r="B400" s="6" t="s">
        <v>12</v>
      </c>
      <c r="C400" s="9">
        <v>45457</v>
      </c>
      <c r="D400" s="6" t="s">
        <v>78</v>
      </c>
      <c r="E400" s="6" t="s">
        <v>56</v>
      </c>
      <c r="F400" s="7">
        <v>4722</v>
      </c>
      <c r="G400" s="7">
        <v>310</v>
      </c>
      <c r="H400" s="7">
        <v>344</v>
      </c>
      <c r="I400" s="7">
        <v>27911</v>
      </c>
      <c r="J400" s="11">
        <v>0.19261223173659131</v>
      </c>
      <c r="K400" s="7">
        <v>19000</v>
      </c>
      <c r="L400" s="7">
        <v>225</v>
      </c>
      <c r="M400" s="6" t="s">
        <v>9</v>
      </c>
      <c r="N400" s="6" t="s">
        <v>26</v>
      </c>
    </row>
    <row r="401" spans="1:14" x14ac:dyDescent="0.25">
      <c r="A401" s="6" t="s">
        <v>307</v>
      </c>
      <c r="B401" s="6" t="s">
        <v>12</v>
      </c>
      <c r="C401" s="9">
        <v>45457</v>
      </c>
      <c r="D401" s="6" t="s">
        <v>78</v>
      </c>
      <c r="E401" s="6" t="s">
        <v>56</v>
      </c>
      <c r="F401" s="7">
        <v>4722</v>
      </c>
      <c r="G401" s="7">
        <v>310</v>
      </c>
      <c r="H401" s="7">
        <v>344</v>
      </c>
      <c r="I401" s="7">
        <v>27911</v>
      </c>
      <c r="J401" s="11">
        <v>0.19261223173659131</v>
      </c>
      <c r="K401" s="7">
        <v>19000</v>
      </c>
      <c r="L401" s="7">
        <v>225</v>
      </c>
      <c r="M401" s="6" t="s">
        <v>9</v>
      </c>
      <c r="N401" s="6" t="s">
        <v>22</v>
      </c>
    </row>
    <row r="402" spans="1:14" x14ac:dyDescent="0.25">
      <c r="A402" s="6" t="s">
        <v>308</v>
      </c>
      <c r="B402" s="6" t="s">
        <v>11</v>
      </c>
      <c r="C402" s="9">
        <v>45357</v>
      </c>
      <c r="D402" s="6" t="s">
        <v>48</v>
      </c>
      <c r="E402" s="6" t="s">
        <v>60</v>
      </c>
      <c r="F402" s="7">
        <v>3529</v>
      </c>
      <c r="G402" s="7">
        <v>263</v>
      </c>
      <c r="H402" s="7">
        <v>107</v>
      </c>
      <c r="I402" s="7">
        <v>26570</v>
      </c>
      <c r="J402" s="11">
        <v>0.14674444862627023</v>
      </c>
      <c r="K402" s="7">
        <v>19367</v>
      </c>
      <c r="L402" s="7">
        <v>96</v>
      </c>
      <c r="M402" s="6" t="s">
        <v>23</v>
      </c>
      <c r="N402" s="6" t="s">
        <v>26</v>
      </c>
    </row>
    <row r="403" spans="1:14" x14ac:dyDescent="0.25">
      <c r="A403" s="6" t="s">
        <v>309</v>
      </c>
      <c r="B403" s="6" t="s">
        <v>17</v>
      </c>
      <c r="C403" s="9">
        <v>45792</v>
      </c>
      <c r="D403" s="6" t="s">
        <v>48</v>
      </c>
      <c r="E403" s="6" t="s">
        <v>73</v>
      </c>
      <c r="F403" s="7">
        <v>4782</v>
      </c>
      <c r="G403" s="7">
        <v>210</v>
      </c>
      <c r="H403" s="7">
        <v>311</v>
      </c>
      <c r="I403" s="7">
        <v>29793</v>
      </c>
      <c r="J403" s="11">
        <v>0.17799483100057059</v>
      </c>
      <c r="K403" s="7">
        <v>37543</v>
      </c>
      <c r="L403" s="7">
        <v>145</v>
      </c>
      <c r="M403" s="6" t="s">
        <v>19</v>
      </c>
      <c r="N403" s="6" t="s">
        <v>18</v>
      </c>
    </row>
    <row r="404" spans="1:14" x14ac:dyDescent="0.25">
      <c r="A404" s="6" t="s">
        <v>310</v>
      </c>
      <c r="B404" s="6" t="s">
        <v>17</v>
      </c>
      <c r="C404" s="9">
        <v>45480</v>
      </c>
      <c r="D404" s="6" t="s">
        <v>48</v>
      </c>
      <c r="E404" s="6" t="s">
        <v>60</v>
      </c>
      <c r="F404" s="7">
        <v>1848</v>
      </c>
      <c r="G404" s="7">
        <v>417</v>
      </c>
      <c r="H404" s="7">
        <v>294</v>
      </c>
      <c r="I404" s="7">
        <v>57819</v>
      </c>
      <c r="J404" s="11">
        <v>4.4258807658382193E-2</v>
      </c>
      <c r="K404" s="7">
        <v>19798</v>
      </c>
      <c r="L404" s="7">
        <v>262</v>
      </c>
      <c r="M404" s="6" t="s">
        <v>23</v>
      </c>
      <c r="N404" s="6" t="s">
        <v>22</v>
      </c>
    </row>
    <row r="405" spans="1:14" x14ac:dyDescent="0.25">
      <c r="A405" s="6" t="s">
        <v>311</v>
      </c>
      <c r="B405" s="6" t="s">
        <v>12</v>
      </c>
      <c r="C405" s="9">
        <v>45591</v>
      </c>
      <c r="D405" s="6" t="s">
        <v>48</v>
      </c>
      <c r="E405" s="6" t="s">
        <v>54</v>
      </c>
      <c r="F405" s="7">
        <v>4676</v>
      </c>
      <c r="G405" s="7">
        <v>211</v>
      </c>
      <c r="H405" s="7">
        <v>55</v>
      </c>
      <c r="I405" s="7">
        <v>45917</v>
      </c>
      <c r="J405" s="11">
        <v>0.10762898272970794</v>
      </c>
      <c r="K405" s="7">
        <v>73503</v>
      </c>
      <c r="L405" s="7">
        <v>248</v>
      </c>
      <c r="M405" s="6" t="s">
        <v>23</v>
      </c>
      <c r="N405" s="6" t="s">
        <v>26</v>
      </c>
    </row>
    <row r="406" spans="1:14" x14ac:dyDescent="0.25">
      <c r="A406" s="6" t="s">
        <v>311</v>
      </c>
      <c r="B406" s="6" t="s">
        <v>12</v>
      </c>
      <c r="C406" s="9">
        <v>45591</v>
      </c>
      <c r="D406" s="6" t="s">
        <v>48</v>
      </c>
      <c r="E406" s="6" t="s">
        <v>54</v>
      </c>
      <c r="F406" s="7">
        <v>4676</v>
      </c>
      <c r="G406" s="7">
        <v>211</v>
      </c>
      <c r="H406" s="7">
        <v>55</v>
      </c>
      <c r="I406" s="7">
        <v>45917</v>
      </c>
      <c r="J406" s="11">
        <v>0.10762898272970794</v>
      </c>
      <c r="K406" s="7">
        <v>73503</v>
      </c>
      <c r="L406" s="7">
        <v>248</v>
      </c>
      <c r="M406" s="6" t="s">
        <v>23</v>
      </c>
      <c r="N406" s="6" t="s">
        <v>13</v>
      </c>
    </row>
    <row r="407" spans="1:14" x14ac:dyDescent="0.25">
      <c r="A407" s="6" t="s">
        <v>312</v>
      </c>
      <c r="B407" s="6" t="s">
        <v>12</v>
      </c>
      <c r="C407" s="9">
        <v>45512</v>
      </c>
      <c r="D407" s="6" t="s">
        <v>48</v>
      </c>
      <c r="E407" s="6" t="s">
        <v>71</v>
      </c>
      <c r="F407" s="7">
        <v>1994</v>
      </c>
      <c r="G407" s="7">
        <v>197</v>
      </c>
      <c r="H407" s="7">
        <v>290</v>
      </c>
      <c r="I407" s="7">
        <v>49500</v>
      </c>
      <c r="J407" s="11">
        <v>5.0121212121212122E-2</v>
      </c>
      <c r="K407" s="7">
        <v>23343</v>
      </c>
      <c r="L407" s="7">
        <v>160</v>
      </c>
      <c r="M407" s="6" t="s">
        <v>23</v>
      </c>
      <c r="N407" s="6" t="s">
        <v>26</v>
      </c>
    </row>
    <row r="408" spans="1:14" x14ac:dyDescent="0.25">
      <c r="A408" s="6" t="s">
        <v>312</v>
      </c>
      <c r="B408" s="6" t="s">
        <v>12</v>
      </c>
      <c r="C408" s="9">
        <v>45512</v>
      </c>
      <c r="D408" s="6" t="s">
        <v>48</v>
      </c>
      <c r="E408" s="6" t="s">
        <v>71</v>
      </c>
      <c r="F408" s="7">
        <v>1994</v>
      </c>
      <c r="G408" s="7">
        <v>197</v>
      </c>
      <c r="H408" s="7">
        <v>290</v>
      </c>
      <c r="I408" s="7">
        <v>49500</v>
      </c>
      <c r="J408" s="11">
        <v>5.0121212121212122E-2</v>
      </c>
      <c r="K408" s="7">
        <v>23343</v>
      </c>
      <c r="L408" s="7">
        <v>160</v>
      </c>
      <c r="M408" s="6" t="s">
        <v>23</v>
      </c>
      <c r="N408" s="6" t="s">
        <v>13</v>
      </c>
    </row>
    <row r="409" spans="1:14" x14ac:dyDescent="0.25">
      <c r="A409" s="6" t="s">
        <v>313</v>
      </c>
      <c r="B409" s="6" t="s">
        <v>17</v>
      </c>
      <c r="C409" s="9">
        <v>45691</v>
      </c>
      <c r="D409" s="6" t="s">
        <v>48</v>
      </c>
      <c r="E409" s="6" t="s">
        <v>60</v>
      </c>
      <c r="F409" s="7">
        <v>4995</v>
      </c>
      <c r="G409" s="7">
        <v>231</v>
      </c>
      <c r="H409" s="7">
        <v>94</v>
      </c>
      <c r="I409" s="7">
        <v>34431</v>
      </c>
      <c r="J409" s="11">
        <v>0.15451192239551567</v>
      </c>
      <c r="K409" s="7">
        <v>32560</v>
      </c>
      <c r="L409" s="7">
        <v>262</v>
      </c>
      <c r="M409" s="6" t="s">
        <v>19</v>
      </c>
      <c r="N409" s="6" t="s">
        <v>18</v>
      </c>
    </row>
    <row r="410" spans="1:14" x14ac:dyDescent="0.25">
      <c r="A410" s="6" t="s">
        <v>314</v>
      </c>
      <c r="B410" s="6" t="s">
        <v>17</v>
      </c>
      <c r="C410" s="9">
        <v>45385</v>
      </c>
      <c r="D410" s="6" t="s">
        <v>53</v>
      </c>
      <c r="E410" s="6" t="s">
        <v>65</v>
      </c>
      <c r="F410" s="7">
        <v>2291</v>
      </c>
      <c r="G410" s="7">
        <v>146</v>
      </c>
      <c r="H410" s="7">
        <v>399</v>
      </c>
      <c r="I410" s="7">
        <v>49319</v>
      </c>
      <c r="J410" s="11">
        <v>5.7503193495407452E-2</v>
      </c>
      <c r="K410" s="7">
        <v>28056</v>
      </c>
      <c r="L410" s="7">
        <v>90</v>
      </c>
      <c r="M410" s="6" t="s">
        <v>19</v>
      </c>
      <c r="N410" s="6" t="s">
        <v>26</v>
      </c>
    </row>
    <row r="411" spans="1:14" x14ac:dyDescent="0.25">
      <c r="A411" s="6" t="s">
        <v>314</v>
      </c>
      <c r="B411" s="6" t="s">
        <v>17</v>
      </c>
      <c r="C411" s="9">
        <v>45385</v>
      </c>
      <c r="D411" s="6" t="s">
        <v>53</v>
      </c>
      <c r="E411" s="6" t="s">
        <v>65</v>
      </c>
      <c r="F411" s="7">
        <v>2291</v>
      </c>
      <c r="G411" s="7">
        <v>146</v>
      </c>
      <c r="H411" s="7">
        <v>399</v>
      </c>
      <c r="I411" s="7">
        <v>49319</v>
      </c>
      <c r="J411" s="11">
        <v>5.7503193495407452E-2</v>
      </c>
      <c r="K411" s="7">
        <v>28056</v>
      </c>
      <c r="L411" s="7">
        <v>90</v>
      </c>
      <c r="M411" s="6" t="s">
        <v>19</v>
      </c>
      <c r="N411" s="6" t="s">
        <v>14</v>
      </c>
    </row>
    <row r="412" spans="1:14" x14ac:dyDescent="0.25">
      <c r="A412" s="6" t="s">
        <v>315</v>
      </c>
      <c r="B412" s="6" t="s">
        <v>17</v>
      </c>
      <c r="C412" s="9">
        <v>45481</v>
      </c>
      <c r="D412" s="6" t="s">
        <v>53</v>
      </c>
      <c r="E412" s="6" t="s">
        <v>56</v>
      </c>
      <c r="F412" s="7">
        <v>2304</v>
      </c>
      <c r="G412" s="7">
        <v>289</v>
      </c>
      <c r="H412" s="7">
        <v>161</v>
      </c>
      <c r="I412" s="7">
        <v>52645</v>
      </c>
      <c r="J412" s="11">
        <v>5.2312660271630736E-2</v>
      </c>
      <c r="K412" s="7">
        <v>66262</v>
      </c>
      <c r="L412" s="7">
        <v>146</v>
      </c>
      <c r="M412" s="6" t="s">
        <v>19</v>
      </c>
      <c r="N412" s="6" t="s">
        <v>14</v>
      </c>
    </row>
    <row r="413" spans="1:14" x14ac:dyDescent="0.25">
      <c r="A413" s="6" t="s">
        <v>315</v>
      </c>
      <c r="B413" s="6" t="s">
        <v>17</v>
      </c>
      <c r="C413" s="9">
        <v>45481</v>
      </c>
      <c r="D413" s="6" t="s">
        <v>53</v>
      </c>
      <c r="E413" s="6" t="s">
        <v>56</v>
      </c>
      <c r="F413" s="7">
        <v>2304</v>
      </c>
      <c r="G413" s="7">
        <v>289</v>
      </c>
      <c r="H413" s="7">
        <v>161</v>
      </c>
      <c r="I413" s="7">
        <v>52645</v>
      </c>
      <c r="J413" s="11">
        <v>5.2312660271630736E-2</v>
      </c>
      <c r="K413" s="7">
        <v>66262</v>
      </c>
      <c r="L413" s="7">
        <v>146</v>
      </c>
      <c r="M413" s="6" t="s">
        <v>19</v>
      </c>
      <c r="N413" s="6" t="s">
        <v>18</v>
      </c>
    </row>
    <row r="414" spans="1:14" x14ac:dyDescent="0.25">
      <c r="A414" s="6" t="s">
        <v>316</v>
      </c>
      <c r="B414" s="6" t="s">
        <v>17</v>
      </c>
      <c r="C414" s="9">
        <v>45451</v>
      </c>
      <c r="D414" s="6" t="s">
        <v>53</v>
      </c>
      <c r="E414" s="6" t="s">
        <v>65</v>
      </c>
      <c r="F414" s="7">
        <v>3413</v>
      </c>
      <c r="G414" s="7">
        <v>326</v>
      </c>
      <c r="H414" s="7">
        <v>86</v>
      </c>
      <c r="I414" s="7">
        <v>44680</v>
      </c>
      <c r="J414" s="11">
        <v>8.5608773500447627E-2</v>
      </c>
      <c r="K414" s="7">
        <v>52719</v>
      </c>
      <c r="L414" s="7">
        <v>272</v>
      </c>
      <c r="M414" s="6" t="s">
        <v>19</v>
      </c>
      <c r="N414" s="6" t="s">
        <v>26</v>
      </c>
    </row>
    <row r="415" spans="1:14" x14ac:dyDescent="0.25">
      <c r="A415" s="6" t="s">
        <v>316</v>
      </c>
      <c r="B415" s="6" t="s">
        <v>17</v>
      </c>
      <c r="C415" s="9">
        <v>45451</v>
      </c>
      <c r="D415" s="6" t="s">
        <v>53</v>
      </c>
      <c r="E415" s="6" t="s">
        <v>65</v>
      </c>
      <c r="F415" s="7">
        <v>3413</v>
      </c>
      <c r="G415" s="7">
        <v>326</v>
      </c>
      <c r="H415" s="7">
        <v>86</v>
      </c>
      <c r="I415" s="7">
        <v>44680</v>
      </c>
      <c r="J415" s="11">
        <v>8.5608773500447627E-2</v>
      </c>
      <c r="K415" s="7">
        <v>52719</v>
      </c>
      <c r="L415" s="7">
        <v>272</v>
      </c>
      <c r="M415" s="6" t="s">
        <v>19</v>
      </c>
      <c r="N415" s="6" t="s">
        <v>14</v>
      </c>
    </row>
    <row r="416" spans="1:14" x14ac:dyDescent="0.25">
      <c r="A416" s="6" t="s">
        <v>317</v>
      </c>
      <c r="B416" s="6" t="s">
        <v>12</v>
      </c>
      <c r="C416" s="9">
        <v>45736</v>
      </c>
      <c r="D416" s="6" t="s">
        <v>78</v>
      </c>
      <c r="E416" s="6" t="s">
        <v>71</v>
      </c>
      <c r="F416" s="7">
        <v>1453</v>
      </c>
      <c r="G416" s="7">
        <v>156</v>
      </c>
      <c r="H416" s="7">
        <v>178</v>
      </c>
      <c r="I416" s="7">
        <v>52980</v>
      </c>
      <c r="J416" s="11">
        <v>3.3729709324273313E-2</v>
      </c>
      <c r="K416" s="7">
        <v>57180</v>
      </c>
      <c r="L416" s="7">
        <v>286</v>
      </c>
      <c r="M416" s="6" t="s">
        <v>9</v>
      </c>
      <c r="N416" s="6" t="s">
        <v>26</v>
      </c>
    </row>
    <row r="417" spans="1:14" x14ac:dyDescent="0.25">
      <c r="A417" s="6" t="s">
        <v>317</v>
      </c>
      <c r="B417" s="6" t="s">
        <v>12</v>
      </c>
      <c r="C417" s="9">
        <v>45736</v>
      </c>
      <c r="D417" s="6" t="s">
        <v>78</v>
      </c>
      <c r="E417" s="6" t="s">
        <v>71</v>
      </c>
      <c r="F417" s="7">
        <v>1453</v>
      </c>
      <c r="G417" s="7">
        <v>156</v>
      </c>
      <c r="H417" s="7">
        <v>178</v>
      </c>
      <c r="I417" s="7">
        <v>52980</v>
      </c>
      <c r="J417" s="11">
        <v>3.3729709324273313E-2</v>
      </c>
      <c r="K417" s="7">
        <v>57180</v>
      </c>
      <c r="L417" s="7">
        <v>286</v>
      </c>
      <c r="M417" s="6" t="s">
        <v>9</v>
      </c>
      <c r="N417" s="6" t="s">
        <v>22</v>
      </c>
    </row>
    <row r="418" spans="1:14" x14ac:dyDescent="0.25">
      <c r="A418" s="6" t="s">
        <v>318</v>
      </c>
      <c r="B418" s="6" t="s">
        <v>17</v>
      </c>
      <c r="C418" s="9">
        <v>45676</v>
      </c>
      <c r="D418" s="6" t="s">
        <v>53</v>
      </c>
      <c r="E418" s="6" t="s">
        <v>58</v>
      </c>
      <c r="F418" s="7">
        <v>1651</v>
      </c>
      <c r="G418" s="7">
        <v>480</v>
      </c>
      <c r="H418" s="7">
        <v>282</v>
      </c>
      <c r="I418" s="7">
        <v>32140</v>
      </c>
      <c r="J418" s="11">
        <v>7.5077784691972627E-2</v>
      </c>
      <c r="K418" s="7">
        <v>70560</v>
      </c>
      <c r="L418" s="7">
        <v>138</v>
      </c>
      <c r="M418" s="6" t="s">
        <v>19</v>
      </c>
      <c r="N418" s="6" t="s">
        <v>22</v>
      </c>
    </row>
    <row r="419" spans="1:14" x14ac:dyDescent="0.25">
      <c r="A419" s="6" t="s">
        <v>318</v>
      </c>
      <c r="B419" s="6" t="s">
        <v>17</v>
      </c>
      <c r="C419" s="9">
        <v>45676</v>
      </c>
      <c r="D419" s="6" t="s">
        <v>53</v>
      </c>
      <c r="E419" s="6" t="s">
        <v>58</v>
      </c>
      <c r="F419" s="7">
        <v>1651</v>
      </c>
      <c r="G419" s="7">
        <v>480</v>
      </c>
      <c r="H419" s="7">
        <v>282</v>
      </c>
      <c r="I419" s="7">
        <v>32140</v>
      </c>
      <c r="J419" s="11">
        <v>7.5077784691972627E-2</v>
      </c>
      <c r="K419" s="7">
        <v>70560</v>
      </c>
      <c r="L419" s="7">
        <v>138</v>
      </c>
      <c r="M419" s="6" t="s">
        <v>19</v>
      </c>
      <c r="N419" s="6" t="s">
        <v>18</v>
      </c>
    </row>
    <row r="420" spans="1:14" x14ac:dyDescent="0.25">
      <c r="A420" s="6" t="s">
        <v>319</v>
      </c>
      <c r="B420" s="6" t="s">
        <v>17</v>
      </c>
      <c r="C420" s="9">
        <v>45662</v>
      </c>
      <c r="D420" s="6" t="s">
        <v>53</v>
      </c>
      <c r="E420" s="6" t="s">
        <v>51</v>
      </c>
      <c r="F420" s="7">
        <v>3341</v>
      </c>
      <c r="G420" s="7">
        <v>154</v>
      </c>
      <c r="H420" s="7">
        <v>123</v>
      </c>
      <c r="I420" s="7">
        <v>43369</v>
      </c>
      <c r="J420" s="11">
        <v>8.3423643616408028E-2</v>
      </c>
      <c r="K420" s="7">
        <v>49035</v>
      </c>
      <c r="L420" s="7">
        <v>128</v>
      </c>
      <c r="M420" s="6" t="s">
        <v>19</v>
      </c>
      <c r="N420" s="6" t="s">
        <v>14</v>
      </c>
    </row>
    <row r="421" spans="1:14" x14ac:dyDescent="0.25">
      <c r="A421" s="6" t="s">
        <v>319</v>
      </c>
      <c r="B421" s="6" t="s">
        <v>17</v>
      </c>
      <c r="C421" s="9">
        <v>45662</v>
      </c>
      <c r="D421" s="6" t="s">
        <v>53</v>
      </c>
      <c r="E421" s="6" t="s">
        <v>51</v>
      </c>
      <c r="F421" s="7">
        <v>3341</v>
      </c>
      <c r="G421" s="7">
        <v>154</v>
      </c>
      <c r="H421" s="7">
        <v>123</v>
      </c>
      <c r="I421" s="7">
        <v>43369</v>
      </c>
      <c r="J421" s="11">
        <v>8.3423643616408028E-2</v>
      </c>
      <c r="K421" s="7">
        <v>49035</v>
      </c>
      <c r="L421" s="7">
        <v>128</v>
      </c>
      <c r="M421" s="6" t="s">
        <v>19</v>
      </c>
      <c r="N421" s="6" t="s">
        <v>18</v>
      </c>
    </row>
    <row r="422" spans="1:14" x14ac:dyDescent="0.25">
      <c r="A422" s="6" t="s">
        <v>320</v>
      </c>
      <c r="B422" s="6" t="s">
        <v>17</v>
      </c>
      <c r="C422" s="9">
        <v>45612</v>
      </c>
      <c r="D422" s="6" t="s">
        <v>48</v>
      </c>
      <c r="E422" s="6" t="s">
        <v>71</v>
      </c>
      <c r="F422" s="7">
        <v>2972</v>
      </c>
      <c r="G422" s="7">
        <v>263</v>
      </c>
      <c r="H422" s="7">
        <v>308</v>
      </c>
      <c r="I422" s="7">
        <v>51740</v>
      </c>
      <c r="J422" s="11">
        <v>6.8477000386548123E-2</v>
      </c>
      <c r="K422" s="7">
        <v>28214</v>
      </c>
      <c r="L422" s="7">
        <v>190</v>
      </c>
      <c r="M422" s="6" t="s">
        <v>23</v>
      </c>
      <c r="N422" s="6" t="s">
        <v>22</v>
      </c>
    </row>
    <row r="423" spans="1:14" x14ac:dyDescent="0.25">
      <c r="A423" s="6" t="s">
        <v>321</v>
      </c>
      <c r="B423" s="6" t="s">
        <v>17</v>
      </c>
      <c r="C423" s="9">
        <v>45626</v>
      </c>
      <c r="D423" s="6" t="s">
        <v>53</v>
      </c>
      <c r="E423" s="6" t="s">
        <v>51</v>
      </c>
      <c r="F423" s="7">
        <v>4963</v>
      </c>
      <c r="G423" s="7">
        <v>255</v>
      </c>
      <c r="H423" s="7">
        <v>193</v>
      </c>
      <c r="I423" s="7">
        <v>44386</v>
      </c>
      <c r="J423" s="11">
        <v>0.12190780876853062</v>
      </c>
      <c r="K423" s="7">
        <v>28415</v>
      </c>
      <c r="L423" s="7">
        <v>174</v>
      </c>
      <c r="M423" s="6" t="s">
        <v>19</v>
      </c>
      <c r="N423" s="6" t="s">
        <v>14</v>
      </c>
    </row>
    <row r="424" spans="1:14" x14ac:dyDescent="0.25">
      <c r="A424" s="6" t="s">
        <v>321</v>
      </c>
      <c r="B424" s="6" t="s">
        <v>17</v>
      </c>
      <c r="C424" s="9">
        <v>45626</v>
      </c>
      <c r="D424" s="6" t="s">
        <v>53</v>
      </c>
      <c r="E424" s="6" t="s">
        <v>51</v>
      </c>
      <c r="F424" s="7">
        <v>4963</v>
      </c>
      <c r="G424" s="7">
        <v>255</v>
      </c>
      <c r="H424" s="7">
        <v>193</v>
      </c>
      <c r="I424" s="7">
        <v>44386</v>
      </c>
      <c r="J424" s="11">
        <v>0.12190780876853062</v>
      </c>
      <c r="K424" s="7">
        <v>28415</v>
      </c>
      <c r="L424" s="7">
        <v>174</v>
      </c>
      <c r="M424" s="6" t="s">
        <v>19</v>
      </c>
      <c r="N424" s="6" t="s">
        <v>18</v>
      </c>
    </row>
    <row r="425" spans="1:14" x14ac:dyDescent="0.25">
      <c r="A425" s="6" t="s">
        <v>322</v>
      </c>
      <c r="B425" s="6" t="s">
        <v>12</v>
      </c>
      <c r="C425" s="9">
        <v>45378</v>
      </c>
      <c r="D425" s="6" t="s">
        <v>48</v>
      </c>
      <c r="E425" s="6" t="s">
        <v>58</v>
      </c>
      <c r="F425" s="7">
        <v>2399</v>
      </c>
      <c r="G425" s="7">
        <v>191</v>
      </c>
      <c r="H425" s="7">
        <v>221</v>
      </c>
      <c r="I425" s="7">
        <v>51603</v>
      </c>
      <c r="J425" s="11">
        <v>5.4473577117609438E-2</v>
      </c>
      <c r="K425" s="7">
        <v>40033</v>
      </c>
      <c r="L425" s="7">
        <v>173</v>
      </c>
      <c r="M425" s="6" t="s">
        <v>23</v>
      </c>
      <c r="N425" s="6" t="s">
        <v>26</v>
      </c>
    </row>
    <row r="426" spans="1:14" x14ac:dyDescent="0.25">
      <c r="A426" s="6" t="s">
        <v>322</v>
      </c>
      <c r="B426" s="6" t="s">
        <v>12</v>
      </c>
      <c r="C426" s="9">
        <v>45378</v>
      </c>
      <c r="D426" s="6" t="s">
        <v>48</v>
      </c>
      <c r="E426" s="6" t="s">
        <v>58</v>
      </c>
      <c r="F426" s="7">
        <v>2399</v>
      </c>
      <c r="G426" s="7">
        <v>191</v>
      </c>
      <c r="H426" s="7">
        <v>221</v>
      </c>
      <c r="I426" s="7">
        <v>51603</v>
      </c>
      <c r="J426" s="11">
        <v>5.4473577117609438E-2</v>
      </c>
      <c r="K426" s="7">
        <v>40033</v>
      </c>
      <c r="L426" s="7">
        <v>173</v>
      </c>
      <c r="M426" s="6" t="s">
        <v>23</v>
      </c>
      <c r="N426" s="6" t="s">
        <v>13</v>
      </c>
    </row>
    <row r="427" spans="1:14" x14ac:dyDescent="0.25">
      <c r="A427" s="6" t="s">
        <v>323</v>
      </c>
      <c r="B427" s="6" t="s">
        <v>12</v>
      </c>
      <c r="C427" s="9">
        <v>45808</v>
      </c>
      <c r="D427" s="6" t="s">
        <v>78</v>
      </c>
      <c r="E427" s="6" t="s">
        <v>62</v>
      </c>
      <c r="F427" s="7">
        <v>2162</v>
      </c>
      <c r="G427" s="7">
        <v>318</v>
      </c>
      <c r="H427" s="7">
        <v>83</v>
      </c>
      <c r="I427" s="7">
        <v>46719</v>
      </c>
      <c r="J427" s="11">
        <v>5.4859907104176028E-2</v>
      </c>
      <c r="K427" s="7">
        <v>20482</v>
      </c>
      <c r="L427" s="7">
        <v>185</v>
      </c>
      <c r="M427" s="6" t="s">
        <v>9</v>
      </c>
      <c r="N427" s="6" t="s">
        <v>26</v>
      </c>
    </row>
    <row r="428" spans="1:14" x14ac:dyDescent="0.25">
      <c r="A428" s="6" t="s">
        <v>323</v>
      </c>
      <c r="B428" s="6" t="s">
        <v>12</v>
      </c>
      <c r="C428" s="9">
        <v>45808</v>
      </c>
      <c r="D428" s="6" t="s">
        <v>78</v>
      </c>
      <c r="E428" s="6" t="s">
        <v>62</v>
      </c>
      <c r="F428" s="7">
        <v>2162</v>
      </c>
      <c r="G428" s="7">
        <v>318</v>
      </c>
      <c r="H428" s="7">
        <v>83</v>
      </c>
      <c r="I428" s="7">
        <v>46719</v>
      </c>
      <c r="J428" s="11">
        <v>5.4859907104176028E-2</v>
      </c>
      <c r="K428" s="7">
        <v>20482</v>
      </c>
      <c r="L428" s="7">
        <v>185</v>
      </c>
      <c r="M428" s="6" t="s">
        <v>9</v>
      </c>
      <c r="N428" s="6" t="s">
        <v>22</v>
      </c>
    </row>
    <row r="429" spans="1:14" x14ac:dyDescent="0.25">
      <c r="A429" s="6" t="s">
        <v>324</v>
      </c>
      <c r="B429" s="6" t="s">
        <v>17</v>
      </c>
      <c r="C429" s="9">
        <v>45825</v>
      </c>
      <c r="D429" s="6" t="s">
        <v>53</v>
      </c>
      <c r="E429" s="6" t="s">
        <v>51</v>
      </c>
      <c r="F429" s="7">
        <v>4341</v>
      </c>
      <c r="G429" s="7">
        <v>141</v>
      </c>
      <c r="H429" s="7">
        <v>63</v>
      </c>
      <c r="I429" s="7">
        <v>50081</v>
      </c>
      <c r="J429" s="11">
        <v>9.0752980172121162E-2</v>
      </c>
      <c r="K429" s="7">
        <v>27507</v>
      </c>
      <c r="L429" s="7">
        <v>221</v>
      </c>
      <c r="M429" s="6" t="s">
        <v>19</v>
      </c>
      <c r="N429" s="6" t="s">
        <v>26</v>
      </c>
    </row>
    <row r="430" spans="1:14" x14ac:dyDescent="0.25">
      <c r="A430" s="6" t="s">
        <v>324</v>
      </c>
      <c r="B430" s="6" t="s">
        <v>17</v>
      </c>
      <c r="C430" s="9">
        <v>45825</v>
      </c>
      <c r="D430" s="6" t="s">
        <v>53</v>
      </c>
      <c r="E430" s="6" t="s">
        <v>51</v>
      </c>
      <c r="F430" s="7">
        <v>4341</v>
      </c>
      <c r="G430" s="7">
        <v>141</v>
      </c>
      <c r="H430" s="7">
        <v>63</v>
      </c>
      <c r="I430" s="7">
        <v>50081</v>
      </c>
      <c r="J430" s="11">
        <v>9.0752980172121162E-2</v>
      </c>
      <c r="K430" s="7">
        <v>27507</v>
      </c>
      <c r="L430" s="7">
        <v>221</v>
      </c>
      <c r="M430" s="6" t="s">
        <v>19</v>
      </c>
      <c r="N430" s="6" t="s">
        <v>14</v>
      </c>
    </row>
    <row r="431" spans="1:14" x14ac:dyDescent="0.25">
      <c r="A431" s="6" t="s">
        <v>325</v>
      </c>
      <c r="B431" s="6" t="s">
        <v>11</v>
      </c>
      <c r="C431" s="9">
        <v>45442</v>
      </c>
      <c r="D431" s="6" t="s">
        <v>53</v>
      </c>
      <c r="E431" s="6" t="s">
        <v>62</v>
      </c>
      <c r="F431" s="7">
        <v>2448</v>
      </c>
      <c r="G431" s="7">
        <v>464</v>
      </c>
      <c r="H431" s="7">
        <v>98</v>
      </c>
      <c r="I431" s="7">
        <v>25737</v>
      </c>
      <c r="J431" s="11">
        <v>0.11695224773672146</v>
      </c>
      <c r="K431" s="7">
        <v>48545</v>
      </c>
      <c r="L431" s="7">
        <v>246</v>
      </c>
      <c r="M431" s="6" t="s">
        <v>15</v>
      </c>
      <c r="N431" s="6" t="s">
        <v>18</v>
      </c>
    </row>
    <row r="432" spans="1:14" x14ac:dyDescent="0.25">
      <c r="A432" s="6" t="s">
        <v>326</v>
      </c>
      <c r="B432" s="6" t="s">
        <v>12</v>
      </c>
      <c r="C432" s="9">
        <v>45604</v>
      </c>
      <c r="D432" s="6" t="s">
        <v>48</v>
      </c>
      <c r="E432" s="6" t="s">
        <v>65</v>
      </c>
      <c r="F432" s="7">
        <v>2471</v>
      </c>
      <c r="G432" s="7">
        <v>166</v>
      </c>
      <c r="H432" s="7">
        <v>320</v>
      </c>
      <c r="I432" s="7">
        <v>48254</v>
      </c>
      <c r="J432" s="11">
        <v>6.1279893894806647E-2</v>
      </c>
      <c r="K432" s="7">
        <v>46900</v>
      </c>
      <c r="L432" s="7">
        <v>111</v>
      </c>
      <c r="M432" s="6" t="s">
        <v>23</v>
      </c>
      <c r="N432" s="6" t="s">
        <v>26</v>
      </c>
    </row>
    <row r="433" spans="1:14" x14ac:dyDescent="0.25">
      <c r="A433" s="6" t="s">
        <v>326</v>
      </c>
      <c r="B433" s="6" t="s">
        <v>12</v>
      </c>
      <c r="C433" s="9">
        <v>45604</v>
      </c>
      <c r="D433" s="6" t="s">
        <v>48</v>
      </c>
      <c r="E433" s="6" t="s">
        <v>65</v>
      </c>
      <c r="F433" s="7">
        <v>2471</v>
      </c>
      <c r="G433" s="7">
        <v>166</v>
      </c>
      <c r="H433" s="7">
        <v>320</v>
      </c>
      <c r="I433" s="7">
        <v>48254</v>
      </c>
      <c r="J433" s="11">
        <v>6.1279893894806647E-2</v>
      </c>
      <c r="K433" s="7">
        <v>46900</v>
      </c>
      <c r="L433" s="7">
        <v>111</v>
      </c>
      <c r="M433" s="6" t="s">
        <v>23</v>
      </c>
      <c r="N433" s="6" t="s">
        <v>13</v>
      </c>
    </row>
    <row r="434" spans="1:14" x14ac:dyDescent="0.25">
      <c r="A434" s="6" t="s">
        <v>327</v>
      </c>
      <c r="B434" s="6" t="s">
        <v>12</v>
      </c>
      <c r="C434" s="9">
        <v>45368</v>
      </c>
      <c r="D434" s="6" t="s">
        <v>78</v>
      </c>
      <c r="E434" s="6" t="s">
        <v>51</v>
      </c>
      <c r="F434" s="7">
        <v>2692</v>
      </c>
      <c r="G434" s="7">
        <v>446</v>
      </c>
      <c r="H434" s="7">
        <v>216</v>
      </c>
      <c r="I434" s="7">
        <v>45818</v>
      </c>
      <c r="J434" s="11">
        <v>7.3202671439172376E-2</v>
      </c>
      <c r="K434" s="7">
        <v>62723</v>
      </c>
      <c r="L434" s="7">
        <v>85</v>
      </c>
      <c r="M434" s="6" t="s">
        <v>9</v>
      </c>
      <c r="N434" s="6" t="s">
        <v>26</v>
      </c>
    </row>
    <row r="435" spans="1:14" x14ac:dyDescent="0.25">
      <c r="A435" s="6" t="s">
        <v>327</v>
      </c>
      <c r="B435" s="6" t="s">
        <v>12</v>
      </c>
      <c r="C435" s="9">
        <v>45368</v>
      </c>
      <c r="D435" s="6" t="s">
        <v>78</v>
      </c>
      <c r="E435" s="6" t="s">
        <v>51</v>
      </c>
      <c r="F435" s="7">
        <v>2692</v>
      </c>
      <c r="G435" s="7">
        <v>446</v>
      </c>
      <c r="H435" s="7">
        <v>216</v>
      </c>
      <c r="I435" s="7">
        <v>45818</v>
      </c>
      <c r="J435" s="11">
        <v>7.3202671439172376E-2</v>
      </c>
      <c r="K435" s="7">
        <v>62723</v>
      </c>
      <c r="L435" s="7">
        <v>85</v>
      </c>
      <c r="M435" s="6" t="s">
        <v>9</v>
      </c>
      <c r="N435" s="6" t="s">
        <v>22</v>
      </c>
    </row>
    <row r="436" spans="1:14" x14ac:dyDescent="0.25">
      <c r="A436" s="6" t="s">
        <v>328</v>
      </c>
      <c r="B436" s="6" t="s">
        <v>12</v>
      </c>
      <c r="C436" s="9">
        <v>45464</v>
      </c>
      <c r="D436" s="6" t="s">
        <v>78</v>
      </c>
      <c r="E436" s="6" t="s">
        <v>58</v>
      </c>
      <c r="F436" s="7">
        <v>4621</v>
      </c>
      <c r="G436" s="7">
        <v>374</v>
      </c>
      <c r="H436" s="7">
        <v>298</v>
      </c>
      <c r="I436" s="7">
        <v>56979</v>
      </c>
      <c r="J436" s="11">
        <v>9.2893873181347508E-2</v>
      </c>
      <c r="K436" s="7">
        <v>24098</v>
      </c>
      <c r="L436" s="7">
        <v>205</v>
      </c>
      <c r="M436" s="6" t="s">
        <v>9</v>
      </c>
      <c r="N436" s="6" t="s">
        <v>26</v>
      </c>
    </row>
    <row r="437" spans="1:14" x14ac:dyDescent="0.25">
      <c r="A437" s="6" t="s">
        <v>328</v>
      </c>
      <c r="B437" s="6" t="s">
        <v>12</v>
      </c>
      <c r="C437" s="9">
        <v>45464</v>
      </c>
      <c r="D437" s="6" t="s">
        <v>78</v>
      </c>
      <c r="E437" s="6" t="s">
        <v>58</v>
      </c>
      <c r="F437" s="7">
        <v>4621</v>
      </c>
      <c r="G437" s="7">
        <v>374</v>
      </c>
      <c r="H437" s="7">
        <v>298</v>
      </c>
      <c r="I437" s="7">
        <v>56979</v>
      </c>
      <c r="J437" s="11">
        <v>9.2893873181347508E-2</v>
      </c>
      <c r="K437" s="7">
        <v>24098</v>
      </c>
      <c r="L437" s="7">
        <v>205</v>
      </c>
      <c r="M437" s="6" t="s">
        <v>9</v>
      </c>
      <c r="N437" s="6" t="s">
        <v>22</v>
      </c>
    </row>
    <row r="438" spans="1:14" x14ac:dyDescent="0.25">
      <c r="A438" s="6" t="s">
        <v>329</v>
      </c>
      <c r="B438" s="6" t="s">
        <v>17</v>
      </c>
      <c r="C438" s="9">
        <v>45609</v>
      </c>
      <c r="D438" s="6" t="s">
        <v>53</v>
      </c>
      <c r="E438" s="6" t="s">
        <v>54</v>
      </c>
      <c r="F438" s="7">
        <v>1409</v>
      </c>
      <c r="G438" s="7">
        <v>466</v>
      </c>
      <c r="H438" s="7">
        <v>105</v>
      </c>
      <c r="I438" s="7">
        <v>58923</v>
      </c>
      <c r="J438" s="11">
        <v>3.3603177027646251E-2</v>
      </c>
      <c r="K438" s="7">
        <v>38753</v>
      </c>
      <c r="L438" s="7">
        <v>265</v>
      </c>
      <c r="M438" s="6" t="s">
        <v>19</v>
      </c>
      <c r="N438" s="6" t="s">
        <v>26</v>
      </c>
    </row>
    <row r="439" spans="1:14" x14ac:dyDescent="0.25">
      <c r="A439" s="6" t="s">
        <v>329</v>
      </c>
      <c r="B439" s="6" t="s">
        <v>17</v>
      </c>
      <c r="C439" s="9">
        <v>45609</v>
      </c>
      <c r="D439" s="6" t="s">
        <v>53</v>
      </c>
      <c r="E439" s="6" t="s">
        <v>54</v>
      </c>
      <c r="F439" s="7">
        <v>1409</v>
      </c>
      <c r="G439" s="7">
        <v>466</v>
      </c>
      <c r="H439" s="7">
        <v>105</v>
      </c>
      <c r="I439" s="7">
        <v>58923</v>
      </c>
      <c r="J439" s="11">
        <v>3.3603177027646251E-2</v>
      </c>
      <c r="K439" s="7">
        <v>38753</v>
      </c>
      <c r="L439" s="7">
        <v>265</v>
      </c>
      <c r="M439" s="6" t="s">
        <v>19</v>
      </c>
      <c r="N439" s="6" t="s">
        <v>14</v>
      </c>
    </row>
    <row r="440" spans="1:14" x14ac:dyDescent="0.25">
      <c r="A440" s="6" t="s">
        <v>330</v>
      </c>
      <c r="B440" s="6" t="s">
        <v>17</v>
      </c>
      <c r="C440" s="9">
        <v>45693</v>
      </c>
      <c r="D440" s="6" t="s">
        <v>53</v>
      </c>
      <c r="E440" s="6" t="s">
        <v>49</v>
      </c>
      <c r="F440" s="7">
        <v>3029</v>
      </c>
      <c r="G440" s="7">
        <v>440</v>
      </c>
      <c r="H440" s="7">
        <v>66</v>
      </c>
      <c r="I440" s="7">
        <v>23815</v>
      </c>
      <c r="J440" s="11">
        <v>0.14843585975225698</v>
      </c>
      <c r="K440" s="7">
        <v>47895</v>
      </c>
      <c r="L440" s="7">
        <v>210</v>
      </c>
      <c r="M440" s="6" t="s">
        <v>19</v>
      </c>
      <c r="N440" s="6" t="s">
        <v>26</v>
      </c>
    </row>
    <row r="441" spans="1:14" x14ac:dyDescent="0.25">
      <c r="A441" s="6" t="s">
        <v>330</v>
      </c>
      <c r="B441" s="6" t="s">
        <v>17</v>
      </c>
      <c r="C441" s="9">
        <v>45693</v>
      </c>
      <c r="D441" s="6" t="s">
        <v>53</v>
      </c>
      <c r="E441" s="6" t="s">
        <v>49</v>
      </c>
      <c r="F441" s="7">
        <v>3029</v>
      </c>
      <c r="G441" s="7">
        <v>440</v>
      </c>
      <c r="H441" s="7">
        <v>66</v>
      </c>
      <c r="I441" s="7">
        <v>23815</v>
      </c>
      <c r="J441" s="11">
        <v>0.14843585975225698</v>
      </c>
      <c r="K441" s="7">
        <v>47895</v>
      </c>
      <c r="L441" s="7">
        <v>210</v>
      </c>
      <c r="M441" s="6" t="s">
        <v>19</v>
      </c>
      <c r="N441" s="6" t="s">
        <v>14</v>
      </c>
    </row>
    <row r="442" spans="1:14" x14ac:dyDescent="0.25">
      <c r="A442" s="6" t="s">
        <v>331</v>
      </c>
      <c r="B442" s="6" t="s">
        <v>17</v>
      </c>
      <c r="C442" s="9">
        <v>45603</v>
      </c>
      <c r="D442" s="6" t="s">
        <v>48</v>
      </c>
      <c r="E442" s="6" t="s">
        <v>51</v>
      </c>
      <c r="F442" s="7">
        <v>2229</v>
      </c>
      <c r="G442" s="7">
        <v>395</v>
      </c>
      <c r="H442" s="7">
        <v>328</v>
      </c>
      <c r="I442" s="7">
        <v>56921</v>
      </c>
      <c r="J442" s="11">
        <v>5.1861351697967357E-2</v>
      </c>
      <c r="K442" s="7">
        <v>37176</v>
      </c>
      <c r="L442" s="7">
        <v>126</v>
      </c>
      <c r="M442" s="6" t="s">
        <v>23</v>
      </c>
      <c r="N442" s="6" t="s">
        <v>22</v>
      </c>
    </row>
    <row r="443" spans="1:14" x14ac:dyDescent="0.25">
      <c r="A443" s="6" t="s">
        <v>332</v>
      </c>
      <c r="B443" s="6" t="s">
        <v>17</v>
      </c>
      <c r="C443" s="9">
        <v>45334</v>
      </c>
      <c r="D443" s="6" t="s">
        <v>48</v>
      </c>
      <c r="E443" s="6" t="s">
        <v>51</v>
      </c>
      <c r="F443" s="7">
        <v>2691</v>
      </c>
      <c r="G443" s="7">
        <v>486</v>
      </c>
      <c r="H443" s="7">
        <v>206</v>
      </c>
      <c r="I443" s="7">
        <v>51133</v>
      </c>
      <c r="J443" s="11">
        <v>6.6160796354604659E-2</v>
      </c>
      <c r="K443" s="7">
        <v>44583</v>
      </c>
      <c r="L443" s="7">
        <v>276</v>
      </c>
      <c r="M443" s="6" t="s">
        <v>19</v>
      </c>
      <c r="N443" s="6" t="s">
        <v>18</v>
      </c>
    </row>
    <row r="444" spans="1:14" x14ac:dyDescent="0.25">
      <c r="A444" s="6" t="s">
        <v>333</v>
      </c>
      <c r="B444" s="6" t="s">
        <v>11</v>
      </c>
      <c r="C444" s="9">
        <v>45573</v>
      </c>
      <c r="D444" s="6" t="s">
        <v>48</v>
      </c>
      <c r="E444" s="6" t="s">
        <v>51</v>
      </c>
      <c r="F444" s="7">
        <v>2110</v>
      </c>
      <c r="G444" s="7">
        <v>384</v>
      </c>
      <c r="H444" s="7">
        <v>236</v>
      </c>
      <c r="I444" s="7">
        <v>49965</v>
      </c>
      <c r="J444" s="11">
        <v>5.4638246772740921E-2</v>
      </c>
      <c r="K444" s="7">
        <v>61555</v>
      </c>
      <c r="L444" s="7">
        <v>195</v>
      </c>
      <c r="M444" s="6" t="s">
        <v>23</v>
      </c>
      <c r="N444" s="6" t="s">
        <v>26</v>
      </c>
    </row>
    <row r="445" spans="1:14" x14ac:dyDescent="0.25">
      <c r="A445" s="6" t="s">
        <v>334</v>
      </c>
      <c r="B445" s="6" t="s">
        <v>11</v>
      </c>
      <c r="C445" s="9">
        <v>45341</v>
      </c>
      <c r="D445" s="6" t="s">
        <v>48</v>
      </c>
      <c r="E445" s="6" t="s">
        <v>56</v>
      </c>
      <c r="F445" s="7">
        <v>4752</v>
      </c>
      <c r="G445" s="7">
        <v>449</v>
      </c>
      <c r="H445" s="7">
        <v>309</v>
      </c>
      <c r="I445" s="7">
        <v>58530</v>
      </c>
      <c r="J445" s="11">
        <v>9.4139757389372969E-2</v>
      </c>
      <c r="K445" s="7">
        <v>26630</v>
      </c>
      <c r="L445" s="7">
        <v>234</v>
      </c>
      <c r="M445" s="6" t="s">
        <v>23</v>
      </c>
      <c r="N445" s="6" t="s">
        <v>26</v>
      </c>
    </row>
    <row r="446" spans="1:14" x14ac:dyDescent="0.25">
      <c r="A446" s="6" t="s">
        <v>335</v>
      </c>
      <c r="B446" s="6" t="s">
        <v>17</v>
      </c>
      <c r="C446" s="9">
        <v>45720</v>
      </c>
      <c r="D446" s="6" t="s">
        <v>48</v>
      </c>
      <c r="E446" s="6" t="s">
        <v>49</v>
      </c>
      <c r="F446" s="7">
        <v>2177</v>
      </c>
      <c r="G446" s="7">
        <v>258</v>
      </c>
      <c r="H446" s="7">
        <v>292</v>
      </c>
      <c r="I446" s="7">
        <v>47276</v>
      </c>
      <c r="J446" s="11">
        <v>5.7682545054573146E-2</v>
      </c>
      <c r="K446" s="7">
        <v>51324</v>
      </c>
      <c r="L446" s="7">
        <v>143</v>
      </c>
      <c r="M446" s="6" t="s">
        <v>19</v>
      </c>
      <c r="N446" s="6" t="s">
        <v>18</v>
      </c>
    </row>
    <row r="447" spans="1:14" x14ac:dyDescent="0.25">
      <c r="A447" s="6" t="s">
        <v>336</v>
      </c>
      <c r="B447" s="6" t="s">
        <v>11</v>
      </c>
      <c r="C447" s="9">
        <v>45691</v>
      </c>
      <c r="D447" s="6" t="s">
        <v>53</v>
      </c>
      <c r="E447" s="6" t="s">
        <v>54</v>
      </c>
      <c r="F447" s="7">
        <v>1205</v>
      </c>
      <c r="G447" s="7">
        <v>486</v>
      </c>
      <c r="H447" s="7">
        <v>269</v>
      </c>
      <c r="I447" s="7">
        <v>23341</v>
      </c>
      <c r="J447" s="11">
        <v>8.3972409065592737E-2</v>
      </c>
      <c r="K447" s="7">
        <v>42411</v>
      </c>
      <c r="L447" s="7">
        <v>184</v>
      </c>
      <c r="M447" s="6" t="s">
        <v>15</v>
      </c>
      <c r="N447" s="6" t="s">
        <v>18</v>
      </c>
    </row>
    <row r="448" spans="1:14" x14ac:dyDescent="0.25">
      <c r="A448" s="6" t="s">
        <v>337</v>
      </c>
      <c r="B448" s="6" t="s">
        <v>11</v>
      </c>
      <c r="C448" s="9">
        <v>45628</v>
      </c>
      <c r="D448" s="6" t="s">
        <v>48</v>
      </c>
      <c r="E448" s="6" t="s">
        <v>65</v>
      </c>
      <c r="F448" s="7">
        <v>3194</v>
      </c>
      <c r="G448" s="7">
        <v>292</v>
      </c>
      <c r="H448" s="7">
        <v>245</v>
      </c>
      <c r="I448" s="7">
        <v>56371</v>
      </c>
      <c r="J448" s="11">
        <v>6.6186514342481059E-2</v>
      </c>
      <c r="K448" s="7">
        <v>65597</v>
      </c>
      <c r="L448" s="7">
        <v>163</v>
      </c>
      <c r="M448" s="6" t="s">
        <v>19</v>
      </c>
      <c r="N448" s="6" t="s">
        <v>22</v>
      </c>
    </row>
    <row r="449" spans="1:14" x14ac:dyDescent="0.25">
      <c r="A449" s="6" t="s">
        <v>337</v>
      </c>
      <c r="B449" s="6" t="s">
        <v>11</v>
      </c>
      <c r="C449" s="9">
        <v>45628</v>
      </c>
      <c r="D449" s="6" t="s">
        <v>48</v>
      </c>
      <c r="E449" s="6" t="s">
        <v>65</v>
      </c>
      <c r="F449" s="7">
        <v>3194</v>
      </c>
      <c r="G449" s="7">
        <v>292</v>
      </c>
      <c r="H449" s="7">
        <v>245</v>
      </c>
      <c r="I449" s="7">
        <v>56371</v>
      </c>
      <c r="J449" s="11">
        <v>6.6186514342481059E-2</v>
      </c>
      <c r="K449" s="7">
        <v>65597</v>
      </c>
      <c r="L449" s="7">
        <v>163</v>
      </c>
      <c r="M449" s="6" t="s">
        <v>19</v>
      </c>
      <c r="N449" s="6" t="s">
        <v>18</v>
      </c>
    </row>
    <row r="450" spans="1:14" x14ac:dyDescent="0.25">
      <c r="A450" s="6" t="s">
        <v>338</v>
      </c>
      <c r="B450" s="6" t="s">
        <v>17</v>
      </c>
      <c r="C450" s="9">
        <v>45676</v>
      </c>
      <c r="D450" s="6" t="s">
        <v>53</v>
      </c>
      <c r="E450" s="6" t="s">
        <v>54</v>
      </c>
      <c r="F450" s="7">
        <v>3507</v>
      </c>
      <c r="G450" s="7">
        <v>295</v>
      </c>
      <c r="H450" s="7">
        <v>371</v>
      </c>
      <c r="I450" s="7">
        <v>20410</v>
      </c>
      <c r="J450" s="11">
        <v>0.20445859872611466</v>
      </c>
      <c r="K450" s="7">
        <v>53965</v>
      </c>
      <c r="L450" s="7">
        <v>212</v>
      </c>
      <c r="M450" s="6" t="s">
        <v>19</v>
      </c>
      <c r="N450" s="6" t="s">
        <v>22</v>
      </c>
    </row>
    <row r="451" spans="1:14" x14ac:dyDescent="0.25">
      <c r="A451" s="6" t="s">
        <v>338</v>
      </c>
      <c r="B451" s="6" t="s">
        <v>17</v>
      </c>
      <c r="C451" s="9">
        <v>45676</v>
      </c>
      <c r="D451" s="6" t="s">
        <v>53</v>
      </c>
      <c r="E451" s="6" t="s">
        <v>54</v>
      </c>
      <c r="F451" s="7">
        <v>3507</v>
      </c>
      <c r="G451" s="7">
        <v>295</v>
      </c>
      <c r="H451" s="7">
        <v>371</v>
      </c>
      <c r="I451" s="7">
        <v>20410</v>
      </c>
      <c r="J451" s="11">
        <v>0.20445859872611466</v>
      </c>
      <c r="K451" s="7">
        <v>53965</v>
      </c>
      <c r="L451" s="7">
        <v>212</v>
      </c>
      <c r="M451" s="6" t="s">
        <v>19</v>
      </c>
      <c r="N451" s="6" t="s">
        <v>18</v>
      </c>
    </row>
    <row r="452" spans="1:14" x14ac:dyDescent="0.25">
      <c r="A452" s="6" t="s">
        <v>339</v>
      </c>
      <c r="B452" s="6" t="s">
        <v>17</v>
      </c>
      <c r="C452" s="9">
        <v>45563</v>
      </c>
      <c r="D452" s="6" t="s">
        <v>53</v>
      </c>
      <c r="E452" s="6" t="s">
        <v>56</v>
      </c>
      <c r="F452" s="7">
        <v>4471</v>
      </c>
      <c r="G452" s="7">
        <v>317</v>
      </c>
      <c r="H452" s="7">
        <v>249</v>
      </c>
      <c r="I452" s="7">
        <v>44862</v>
      </c>
      <c r="J452" s="11">
        <v>0.1122776514644911</v>
      </c>
      <c r="K452" s="7">
        <v>33365</v>
      </c>
      <c r="L452" s="7">
        <v>184</v>
      </c>
      <c r="M452" s="6" t="s">
        <v>19</v>
      </c>
      <c r="N452" s="6" t="s">
        <v>26</v>
      </c>
    </row>
    <row r="453" spans="1:14" x14ac:dyDescent="0.25">
      <c r="A453" s="6" t="s">
        <v>339</v>
      </c>
      <c r="B453" s="6" t="s">
        <v>17</v>
      </c>
      <c r="C453" s="9">
        <v>45563</v>
      </c>
      <c r="D453" s="6" t="s">
        <v>53</v>
      </c>
      <c r="E453" s="6" t="s">
        <v>56</v>
      </c>
      <c r="F453" s="7">
        <v>4471</v>
      </c>
      <c r="G453" s="7">
        <v>317</v>
      </c>
      <c r="H453" s="7">
        <v>249</v>
      </c>
      <c r="I453" s="7">
        <v>44862</v>
      </c>
      <c r="J453" s="11">
        <v>0.1122776514644911</v>
      </c>
      <c r="K453" s="7">
        <v>33365</v>
      </c>
      <c r="L453" s="7">
        <v>184</v>
      </c>
      <c r="M453" s="6" t="s">
        <v>19</v>
      </c>
      <c r="N453" s="6" t="s">
        <v>14</v>
      </c>
    </row>
    <row r="454" spans="1:14" x14ac:dyDescent="0.25">
      <c r="A454" s="6" t="s">
        <v>340</v>
      </c>
      <c r="B454" s="6" t="s">
        <v>11</v>
      </c>
      <c r="C454" s="9">
        <v>45298</v>
      </c>
      <c r="D454" s="6" t="s">
        <v>48</v>
      </c>
      <c r="E454" s="6" t="s">
        <v>65</v>
      </c>
      <c r="F454" s="7">
        <v>4931</v>
      </c>
      <c r="G454" s="7">
        <v>469</v>
      </c>
      <c r="H454" s="7">
        <v>193</v>
      </c>
      <c r="I454" s="7">
        <v>56701</v>
      </c>
      <c r="J454" s="11">
        <v>9.8640235621946709E-2</v>
      </c>
      <c r="K454" s="7">
        <v>69437</v>
      </c>
      <c r="L454" s="7">
        <v>291</v>
      </c>
      <c r="M454" s="6" t="s">
        <v>19</v>
      </c>
      <c r="N454" s="6" t="s">
        <v>22</v>
      </c>
    </row>
    <row r="455" spans="1:14" x14ac:dyDescent="0.25">
      <c r="A455" s="6" t="s">
        <v>340</v>
      </c>
      <c r="B455" s="6" t="s">
        <v>11</v>
      </c>
      <c r="C455" s="9">
        <v>45298</v>
      </c>
      <c r="D455" s="6" t="s">
        <v>48</v>
      </c>
      <c r="E455" s="6" t="s">
        <v>65</v>
      </c>
      <c r="F455" s="7">
        <v>4931</v>
      </c>
      <c r="G455" s="7">
        <v>469</v>
      </c>
      <c r="H455" s="7">
        <v>193</v>
      </c>
      <c r="I455" s="7">
        <v>56701</v>
      </c>
      <c r="J455" s="11">
        <v>9.8640235621946709E-2</v>
      </c>
      <c r="K455" s="7">
        <v>69437</v>
      </c>
      <c r="L455" s="7">
        <v>291</v>
      </c>
      <c r="M455" s="6" t="s">
        <v>19</v>
      </c>
      <c r="N455" s="6" t="s">
        <v>18</v>
      </c>
    </row>
    <row r="456" spans="1:14" x14ac:dyDescent="0.25">
      <c r="A456" s="6" t="s">
        <v>341</v>
      </c>
      <c r="B456" s="6" t="s">
        <v>17</v>
      </c>
      <c r="C456" s="9">
        <v>45343</v>
      </c>
      <c r="D456" s="6" t="s">
        <v>53</v>
      </c>
      <c r="E456" s="6" t="s">
        <v>62</v>
      </c>
      <c r="F456" s="7">
        <v>2604</v>
      </c>
      <c r="G456" s="7">
        <v>439</v>
      </c>
      <c r="H456" s="7">
        <v>148</v>
      </c>
      <c r="I456" s="7">
        <v>58468</v>
      </c>
      <c r="J456" s="11">
        <v>5.4576862557296296E-2</v>
      </c>
      <c r="K456" s="7">
        <v>39629</v>
      </c>
      <c r="L456" s="7">
        <v>163</v>
      </c>
      <c r="M456" s="6" t="s">
        <v>19</v>
      </c>
      <c r="N456" s="6" t="s">
        <v>14</v>
      </c>
    </row>
    <row r="457" spans="1:14" x14ac:dyDescent="0.25">
      <c r="A457" s="6" t="s">
        <v>341</v>
      </c>
      <c r="B457" s="6" t="s">
        <v>17</v>
      </c>
      <c r="C457" s="9">
        <v>45343</v>
      </c>
      <c r="D457" s="6" t="s">
        <v>53</v>
      </c>
      <c r="E457" s="6" t="s">
        <v>62</v>
      </c>
      <c r="F457" s="7">
        <v>2604</v>
      </c>
      <c r="G457" s="7">
        <v>439</v>
      </c>
      <c r="H457" s="7">
        <v>148</v>
      </c>
      <c r="I457" s="7">
        <v>58468</v>
      </c>
      <c r="J457" s="11">
        <v>5.4576862557296296E-2</v>
      </c>
      <c r="K457" s="7">
        <v>39629</v>
      </c>
      <c r="L457" s="7">
        <v>163</v>
      </c>
      <c r="M457" s="6" t="s">
        <v>19</v>
      </c>
      <c r="N457" s="6" t="s">
        <v>18</v>
      </c>
    </row>
    <row r="458" spans="1:14" x14ac:dyDescent="0.25">
      <c r="A458" s="6" t="s">
        <v>342</v>
      </c>
      <c r="B458" s="6" t="s">
        <v>11</v>
      </c>
      <c r="C458" s="9">
        <v>45531</v>
      </c>
      <c r="D458" s="6" t="s">
        <v>48</v>
      </c>
      <c r="E458" s="6" t="s">
        <v>58</v>
      </c>
      <c r="F458" s="7">
        <v>4197</v>
      </c>
      <c r="G458" s="7">
        <v>359</v>
      </c>
      <c r="H458" s="7">
        <v>280</v>
      </c>
      <c r="I458" s="7">
        <v>56048</v>
      </c>
      <c r="J458" s="11">
        <v>8.628318584070796E-2</v>
      </c>
      <c r="K458" s="7">
        <v>70930</v>
      </c>
      <c r="L458" s="7">
        <v>295</v>
      </c>
      <c r="M458" s="6" t="s">
        <v>23</v>
      </c>
      <c r="N458" s="6" t="s">
        <v>26</v>
      </c>
    </row>
    <row r="459" spans="1:14" x14ac:dyDescent="0.25">
      <c r="A459" s="6" t="s">
        <v>343</v>
      </c>
      <c r="B459" s="6" t="s">
        <v>11</v>
      </c>
      <c r="C459" s="9">
        <v>45589</v>
      </c>
      <c r="D459" s="6" t="s">
        <v>53</v>
      </c>
      <c r="E459" s="6" t="s">
        <v>65</v>
      </c>
      <c r="F459" s="7">
        <v>1914</v>
      </c>
      <c r="G459" s="7">
        <v>255</v>
      </c>
      <c r="H459" s="7">
        <v>156</v>
      </c>
      <c r="I459" s="7">
        <v>27660</v>
      </c>
      <c r="J459" s="11">
        <v>8.4056399132321047E-2</v>
      </c>
      <c r="K459" s="7">
        <v>47776</v>
      </c>
      <c r="L459" s="7">
        <v>111</v>
      </c>
      <c r="M459" s="6" t="s">
        <v>15</v>
      </c>
      <c r="N459" s="6" t="s">
        <v>18</v>
      </c>
    </row>
    <row r="460" spans="1:14" x14ac:dyDescent="0.25">
      <c r="A460" s="6" t="s">
        <v>344</v>
      </c>
      <c r="B460" s="6" t="s">
        <v>12</v>
      </c>
      <c r="C460" s="9">
        <v>45686</v>
      </c>
      <c r="D460" s="6" t="s">
        <v>48</v>
      </c>
      <c r="E460" s="6" t="s">
        <v>54</v>
      </c>
      <c r="F460" s="7">
        <v>1334</v>
      </c>
      <c r="G460" s="7">
        <v>357</v>
      </c>
      <c r="H460" s="7">
        <v>257</v>
      </c>
      <c r="I460" s="7">
        <v>56910</v>
      </c>
      <c r="J460" s="11">
        <v>3.4229485151994379E-2</v>
      </c>
      <c r="K460" s="7">
        <v>70606</v>
      </c>
      <c r="L460" s="7">
        <v>228</v>
      </c>
      <c r="M460" s="6" t="s">
        <v>23</v>
      </c>
      <c r="N460" s="6" t="s">
        <v>26</v>
      </c>
    </row>
    <row r="461" spans="1:14" x14ac:dyDescent="0.25">
      <c r="A461" s="6" t="s">
        <v>344</v>
      </c>
      <c r="B461" s="6" t="s">
        <v>12</v>
      </c>
      <c r="C461" s="9">
        <v>45686</v>
      </c>
      <c r="D461" s="6" t="s">
        <v>48</v>
      </c>
      <c r="E461" s="6" t="s">
        <v>54</v>
      </c>
      <c r="F461" s="7">
        <v>1334</v>
      </c>
      <c r="G461" s="7">
        <v>357</v>
      </c>
      <c r="H461" s="7">
        <v>257</v>
      </c>
      <c r="I461" s="7">
        <v>56910</v>
      </c>
      <c r="J461" s="11">
        <v>3.4229485151994379E-2</v>
      </c>
      <c r="K461" s="7">
        <v>70606</v>
      </c>
      <c r="L461" s="7">
        <v>228</v>
      </c>
      <c r="M461" s="6" t="s">
        <v>23</v>
      </c>
      <c r="N461" s="6" t="s">
        <v>13</v>
      </c>
    </row>
    <row r="462" spans="1:14" x14ac:dyDescent="0.25">
      <c r="A462" s="6" t="s">
        <v>345</v>
      </c>
      <c r="B462" s="6" t="s">
        <v>11</v>
      </c>
      <c r="C462" s="9">
        <v>45413</v>
      </c>
      <c r="D462" s="6" t="s">
        <v>48</v>
      </c>
      <c r="E462" s="6" t="s">
        <v>62</v>
      </c>
      <c r="F462" s="7">
        <v>3359</v>
      </c>
      <c r="G462" s="7">
        <v>137</v>
      </c>
      <c r="H462" s="7">
        <v>387</v>
      </c>
      <c r="I462" s="7">
        <v>33861</v>
      </c>
      <c r="J462" s="11">
        <v>0.11467469950680724</v>
      </c>
      <c r="K462" s="7">
        <v>47257</v>
      </c>
      <c r="L462" s="7">
        <v>198</v>
      </c>
      <c r="M462" s="6" t="s">
        <v>23</v>
      </c>
      <c r="N462" s="6" t="s">
        <v>26</v>
      </c>
    </row>
    <row r="463" spans="1:14" x14ac:dyDescent="0.25">
      <c r="A463" s="6" t="s">
        <v>346</v>
      </c>
      <c r="B463" s="6" t="s">
        <v>12</v>
      </c>
      <c r="C463" s="9">
        <v>45468</v>
      </c>
      <c r="D463" s="6" t="s">
        <v>48</v>
      </c>
      <c r="E463" s="6" t="s">
        <v>73</v>
      </c>
      <c r="F463" s="7">
        <v>2172</v>
      </c>
      <c r="G463" s="7">
        <v>338</v>
      </c>
      <c r="H463" s="7">
        <v>70</v>
      </c>
      <c r="I463" s="7">
        <v>30515</v>
      </c>
      <c r="J463" s="11">
        <v>8.4548582664263475E-2</v>
      </c>
      <c r="K463" s="7">
        <v>57853</v>
      </c>
      <c r="L463" s="7">
        <v>156</v>
      </c>
      <c r="M463" s="6" t="s">
        <v>23</v>
      </c>
      <c r="N463" s="6" t="s">
        <v>26</v>
      </c>
    </row>
    <row r="464" spans="1:14" x14ac:dyDescent="0.25">
      <c r="A464" s="6" t="s">
        <v>346</v>
      </c>
      <c r="B464" s="6" t="s">
        <v>12</v>
      </c>
      <c r="C464" s="9">
        <v>45468</v>
      </c>
      <c r="D464" s="6" t="s">
        <v>48</v>
      </c>
      <c r="E464" s="6" t="s">
        <v>73</v>
      </c>
      <c r="F464" s="7">
        <v>2172</v>
      </c>
      <c r="G464" s="7">
        <v>338</v>
      </c>
      <c r="H464" s="7">
        <v>70</v>
      </c>
      <c r="I464" s="7">
        <v>30515</v>
      </c>
      <c r="J464" s="11">
        <v>8.4548582664263475E-2</v>
      </c>
      <c r="K464" s="7">
        <v>57853</v>
      </c>
      <c r="L464" s="7">
        <v>156</v>
      </c>
      <c r="M464" s="6" t="s">
        <v>23</v>
      </c>
      <c r="N464" s="6" t="s">
        <v>13</v>
      </c>
    </row>
    <row r="465" spans="1:14" x14ac:dyDescent="0.25">
      <c r="A465" s="6" t="s">
        <v>347</v>
      </c>
      <c r="B465" s="6" t="s">
        <v>17</v>
      </c>
      <c r="C465" s="9">
        <v>45513</v>
      </c>
      <c r="D465" s="6" t="s">
        <v>53</v>
      </c>
      <c r="E465" s="6" t="s">
        <v>71</v>
      </c>
      <c r="F465" s="7">
        <v>4877</v>
      </c>
      <c r="G465" s="7">
        <v>442</v>
      </c>
      <c r="H465" s="7">
        <v>236</v>
      </c>
      <c r="I465" s="7">
        <v>52673</v>
      </c>
      <c r="J465" s="11">
        <v>0.10546200140489435</v>
      </c>
      <c r="K465" s="7">
        <v>48241</v>
      </c>
      <c r="L465" s="7">
        <v>114</v>
      </c>
      <c r="M465" s="6" t="s">
        <v>19</v>
      </c>
      <c r="N465" s="6" t="s">
        <v>26</v>
      </c>
    </row>
    <row r="466" spans="1:14" x14ac:dyDescent="0.25">
      <c r="A466" s="6" t="s">
        <v>347</v>
      </c>
      <c r="B466" s="6" t="s">
        <v>17</v>
      </c>
      <c r="C466" s="9">
        <v>45513</v>
      </c>
      <c r="D466" s="6" t="s">
        <v>53</v>
      </c>
      <c r="E466" s="6" t="s">
        <v>71</v>
      </c>
      <c r="F466" s="7">
        <v>4877</v>
      </c>
      <c r="G466" s="7">
        <v>442</v>
      </c>
      <c r="H466" s="7">
        <v>236</v>
      </c>
      <c r="I466" s="7">
        <v>52673</v>
      </c>
      <c r="J466" s="11">
        <v>0.10546200140489435</v>
      </c>
      <c r="K466" s="7">
        <v>48241</v>
      </c>
      <c r="L466" s="7">
        <v>114</v>
      </c>
      <c r="M466" s="6" t="s">
        <v>19</v>
      </c>
      <c r="N466" s="6" t="s">
        <v>14</v>
      </c>
    </row>
    <row r="467" spans="1:14" x14ac:dyDescent="0.25">
      <c r="A467" s="6" t="s">
        <v>348</v>
      </c>
      <c r="B467" s="6" t="s">
        <v>11</v>
      </c>
      <c r="C467" s="9">
        <v>45678</v>
      </c>
      <c r="D467" s="6" t="s">
        <v>53</v>
      </c>
      <c r="E467" s="6" t="s">
        <v>54</v>
      </c>
      <c r="F467" s="7">
        <v>4918</v>
      </c>
      <c r="G467" s="7">
        <v>440</v>
      </c>
      <c r="H467" s="7">
        <v>149</v>
      </c>
      <c r="I467" s="7">
        <v>53269</v>
      </c>
      <c r="J467" s="11">
        <v>0.10338095327488783</v>
      </c>
      <c r="K467" s="7">
        <v>64370</v>
      </c>
      <c r="L467" s="7">
        <v>269</v>
      </c>
      <c r="M467" s="6" t="s">
        <v>15</v>
      </c>
      <c r="N467" s="6" t="s">
        <v>18</v>
      </c>
    </row>
    <row r="468" spans="1:14" x14ac:dyDescent="0.25">
      <c r="A468" s="6" t="s">
        <v>349</v>
      </c>
      <c r="B468" s="6" t="s">
        <v>17</v>
      </c>
      <c r="C468" s="9">
        <v>45517</v>
      </c>
      <c r="D468" s="6" t="s">
        <v>48</v>
      </c>
      <c r="E468" s="6" t="s">
        <v>51</v>
      </c>
      <c r="F468" s="7">
        <v>3418</v>
      </c>
      <c r="G468" s="7">
        <v>107</v>
      </c>
      <c r="H468" s="7">
        <v>221</v>
      </c>
      <c r="I468" s="7">
        <v>23927</v>
      </c>
      <c r="J468" s="11">
        <v>0.1565595352530614</v>
      </c>
      <c r="K468" s="7">
        <v>26182</v>
      </c>
      <c r="L468" s="7">
        <v>155</v>
      </c>
      <c r="M468" s="6" t="s">
        <v>23</v>
      </c>
      <c r="N468" s="6" t="s">
        <v>22</v>
      </c>
    </row>
    <row r="469" spans="1:14" x14ac:dyDescent="0.25">
      <c r="A469" s="6" t="s">
        <v>350</v>
      </c>
      <c r="B469" s="6" t="s">
        <v>11</v>
      </c>
      <c r="C469" s="9">
        <v>45472</v>
      </c>
      <c r="D469" s="6" t="s">
        <v>48</v>
      </c>
      <c r="E469" s="6" t="s">
        <v>73</v>
      </c>
      <c r="F469" s="7">
        <v>2088</v>
      </c>
      <c r="G469" s="7">
        <v>490</v>
      </c>
      <c r="H469" s="7">
        <v>124</v>
      </c>
      <c r="I469" s="7">
        <v>46544</v>
      </c>
      <c r="J469" s="11">
        <v>5.8052595393606049E-2</v>
      </c>
      <c r="K469" s="7">
        <v>69346</v>
      </c>
      <c r="L469" s="7">
        <v>178</v>
      </c>
      <c r="M469" s="6" t="s">
        <v>19</v>
      </c>
      <c r="N469" s="6" t="s">
        <v>22</v>
      </c>
    </row>
    <row r="470" spans="1:14" x14ac:dyDescent="0.25">
      <c r="A470" s="6" t="s">
        <v>350</v>
      </c>
      <c r="B470" s="6" t="s">
        <v>11</v>
      </c>
      <c r="C470" s="9">
        <v>45472</v>
      </c>
      <c r="D470" s="6" t="s">
        <v>48</v>
      </c>
      <c r="E470" s="6" t="s">
        <v>73</v>
      </c>
      <c r="F470" s="7">
        <v>2088</v>
      </c>
      <c r="G470" s="7">
        <v>490</v>
      </c>
      <c r="H470" s="7">
        <v>124</v>
      </c>
      <c r="I470" s="7">
        <v>46544</v>
      </c>
      <c r="J470" s="11">
        <v>5.8052595393606049E-2</v>
      </c>
      <c r="K470" s="7">
        <v>69346</v>
      </c>
      <c r="L470" s="7">
        <v>178</v>
      </c>
      <c r="M470" s="6" t="s">
        <v>19</v>
      </c>
      <c r="N470" s="6" t="s">
        <v>18</v>
      </c>
    </row>
    <row r="471" spans="1:14" x14ac:dyDescent="0.25">
      <c r="A471" s="6" t="s">
        <v>351</v>
      </c>
      <c r="B471" s="6" t="s">
        <v>17</v>
      </c>
      <c r="C471" s="9">
        <v>45599</v>
      </c>
      <c r="D471" s="6" t="s">
        <v>53</v>
      </c>
      <c r="E471" s="6" t="s">
        <v>51</v>
      </c>
      <c r="F471" s="7">
        <v>3061</v>
      </c>
      <c r="G471" s="7">
        <v>320</v>
      </c>
      <c r="H471" s="7">
        <v>76</v>
      </c>
      <c r="I471" s="7">
        <v>26640</v>
      </c>
      <c r="J471" s="11">
        <v>0.12976726726726726</v>
      </c>
      <c r="K471" s="7">
        <v>24306</v>
      </c>
      <c r="L471" s="7">
        <v>112</v>
      </c>
      <c r="M471" s="6" t="s">
        <v>19</v>
      </c>
      <c r="N471" s="6" t="s">
        <v>14</v>
      </c>
    </row>
    <row r="472" spans="1:14" x14ac:dyDescent="0.25">
      <c r="A472" s="6" t="s">
        <v>351</v>
      </c>
      <c r="B472" s="6" t="s">
        <v>17</v>
      </c>
      <c r="C472" s="9">
        <v>45599</v>
      </c>
      <c r="D472" s="6" t="s">
        <v>53</v>
      </c>
      <c r="E472" s="6" t="s">
        <v>51</v>
      </c>
      <c r="F472" s="7">
        <v>3061</v>
      </c>
      <c r="G472" s="7">
        <v>320</v>
      </c>
      <c r="H472" s="7">
        <v>76</v>
      </c>
      <c r="I472" s="7">
        <v>26640</v>
      </c>
      <c r="J472" s="11">
        <v>0.12976726726726726</v>
      </c>
      <c r="K472" s="7">
        <v>24306</v>
      </c>
      <c r="L472" s="7">
        <v>112</v>
      </c>
      <c r="M472" s="6" t="s">
        <v>19</v>
      </c>
      <c r="N472" s="6" t="s">
        <v>18</v>
      </c>
    </row>
    <row r="473" spans="1:14" x14ac:dyDescent="0.25">
      <c r="A473" s="6" t="s">
        <v>352</v>
      </c>
      <c r="B473" s="6" t="s">
        <v>12</v>
      </c>
      <c r="C473" s="9">
        <v>45765</v>
      </c>
      <c r="D473" s="6" t="s">
        <v>78</v>
      </c>
      <c r="E473" s="6" t="s">
        <v>73</v>
      </c>
      <c r="F473" s="7">
        <v>1265</v>
      </c>
      <c r="G473" s="7">
        <v>230</v>
      </c>
      <c r="H473" s="7">
        <v>364</v>
      </c>
      <c r="I473" s="7">
        <v>41312</v>
      </c>
      <c r="J473" s="11">
        <v>4.4999031758326875E-2</v>
      </c>
      <c r="K473" s="7">
        <v>50382</v>
      </c>
      <c r="L473" s="7">
        <v>106</v>
      </c>
      <c r="M473" s="6" t="s">
        <v>9</v>
      </c>
      <c r="N473" s="6" t="s">
        <v>26</v>
      </c>
    </row>
    <row r="474" spans="1:14" x14ac:dyDescent="0.25">
      <c r="A474" s="6" t="s">
        <v>352</v>
      </c>
      <c r="B474" s="6" t="s">
        <v>12</v>
      </c>
      <c r="C474" s="9">
        <v>45765</v>
      </c>
      <c r="D474" s="6" t="s">
        <v>78</v>
      </c>
      <c r="E474" s="6" t="s">
        <v>73</v>
      </c>
      <c r="F474" s="7">
        <v>1265</v>
      </c>
      <c r="G474" s="7">
        <v>230</v>
      </c>
      <c r="H474" s="7">
        <v>364</v>
      </c>
      <c r="I474" s="7">
        <v>41312</v>
      </c>
      <c r="J474" s="11">
        <v>4.4999031758326875E-2</v>
      </c>
      <c r="K474" s="7">
        <v>50382</v>
      </c>
      <c r="L474" s="7">
        <v>106</v>
      </c>
      <c r="M474" s="6" t="s">
        <v>9</v>
      </c>
      <c r="N474" s="6" t="s">
        <v>22</v>
      </c>
    </row>
    <row r="475" spans="1:14" x14ac:dyDescent="0.25">
      <c r="A475" s="6" t="s">
        <v>353</v>
      </c>
      <c r="B475" s="6" t="s">
        <v>11</v>
      </c>
      <c r="C475" s="9">
        <v>45653</v>
      </c>
      <c r="D475" s="6" t="s">
        <v>48</v>
      </c>
      <c r="E475" s="6" t="s">
        <v>71</v>
      </c>
      <c r="F475" s="7">
        <v>1436</v>
      </c>
      <c r="G475" s="7">
        <v>219</v>
      </c>
      <c r="H475" s="7">
        <v>229</v>
      </c>
      <c r="I475" s="7">
        <v>58488</v>
      </c>
      <c r="J475" s="11">
        <v>3.221173574066475E-2</v>
      </c>
      <c r="K475" s="7">
        <v>24314</v>
      </c>
      <c r="L475" s="7">
        <v>147</v>
      </c>
      <c r="M475" s="6" t="s">
        <v>23</v>
      </c>
      <c r="N475" s="6" t="s">
        <v>26</v>
      </c>
    </row>
    <row r="476" spans="1:14" x14ac:dyDescent="0.25">
      <c r="A476" s="6" t="s">
        <v>354</v>
      </c>
      <c r="B476" s="6" t="s">
        <v>11</v>
      </c>
      <c r="C476" s="9">
        <v>45724</v>
      </c>
      <c r="D476" s="6" t="s">
        <v>53</v>
      </c>
      <c r="E476" s="6" t="s">
        <v>65</v>
      </c>
      <c r="F476" s="7">
        <v>2244</v>
      </c>
      <c r="G476" s="7">
        <v>392</v>
      </c>
      <c r="H476" s="7">
        <v>231</v>
      </c>
      <c r="I476" s="7">
        <v>25834</v>
      </c>
      <c r="J476" s="11">
        <v>0.1109777812185492</v>
      </c>
      <c r="K476" s="7">
        <v>50906</v>
      </c>
      <c r="L476" s="7">
        <v>165</v>
      </c>
      <c r="M476" s="6" t="s">
        <v>15</v>
      </c>
      <c r="N476" s="6" t="s">
        <v>18</v>
      </c>
    </row>
    <row r="477" spans="1:14" x14ac:dyDescent="0.25">
      <c r="A477" s="6" t="s">
        <v>355</v>
      </c>
      <c r="B477" s="6" t="s">
        <v>17</v>
      </c>
      <c r="C477" s="9">
        <v>45736</v>
      </c>
      <c r="D477" s="6" t="s">
        <v>53</v>
      </c>
      <c r="E477" s="6" t="s">
        <v>73</v>
      </c>
      <c r="F477" s="7">
        <v>3393</v>
      </c>
      <c r="G477" s="7">
        <v>104</v>
      </c>
      <c r="H477" s="7">
        <v>79</v>
      </c>
      <c r="I477" s="7">
        <v>30025</v>
      </c>
      <c r="J477" s="11">
        <v>0.1191007493755204</v>
      </c>
      <c r="K477" s="7">
        <v>21593</v>
      </c>
      <c r="L477" s="7">
        <v>165</v>
      </c>
      <c r="M477" s="6" t="s">
        <v>19</v>
      </c>
      <c r="N477" s="6" t="s">
        <v>14</v>
      </c>
    </row>
    <row r="478" spans="1:14" x14ac:dyDescent="0.25">
      <c r="A478" s="6" t="s">
        <v>355</v>
      </c>
      <c r="B478" s="6" t="s">
        <v>17</v>
      </c>
      <c r="C478" s="9">
        <v>45736</v>
      </c>
      <c r="D478" s="6" t="s">
        <v>53</v>
      </c>
      <c r="E478" s="6" t="s">
        <v>73</v>
      </c>
      <c r="F478" s="7">
        <v>3393</v>
      </c>
      <c r="G478" s="7">
        <v>104</v>
      </c>
      <c r="H478" s="7">
        <v>79</v>
      </c>
      <c r="I478" s="7">
        <v>30025</v>
      </c>
      <c r="J478" s="11">
        <v>0.1191007493755204</v>
      </c>
      <c r="K478" s="7">
        <v>21593</v>
      </c>
      <c r="L478" s="7">
        <v>165</v>
      </c>
      <c r="M478" s="6" t="s">
        <v>19</v>
      </c>
      <c r="N478" s="6" t="s">
        <v>18</v>
      </c>
    </row>
    <row r="479" spans="1:14" x14ac:dyDescent="0.25">
      <c r="A479" s="6" t="s">
        <v>356</v>
      </c>
      <c r="B479" s="6" t="s">
        <v>17</v>
      </c>
      <c r="C479" s="9">
        <v>45612</v>
      </c>
      <c r="D479" s="6" t="s">
        <v>48</v>
      </c>
      <c r="E479" s="6" t="s">
        <v>51</v>
      </c>
      <c r="F479" s="7">
        <v>2901</v>
      </c>
      <c r="G479" s="7">
        <v>108</v>
      </c>
      <c r="H479" s="7">
        <v>86</v>
      </c>
      <c r="I479" s="7">
        <v>51777</v>
      </c>
      <c r="J479" s="11">
        <v>5.9775576027966085E-2</v>
      </c>
      <c r="K479" s="7">
        <v>23773</v>
      </c>
      <c r="L479" s="7">
        <v>160</v>
      </c>
      <c r="M479" s="6" t="s">
        <v>23</v>
      </c>
      <c r="N479" s="6" t="s">
        <v>22</v>
      </c>
    </row>
    <row r="480" spans="1:14" x14ac:dyDescent="0.25">
      <c r="A480" s="6" t="s">
        <v>357</v>
      </c>
      <c r="B480" s="6" t="s">
        <v>17</v>
      </c>
      <c r="C480" s="9">
        <v>45838</v>
      </c>
      <c r="D480" s="6" t="s">
        <v>48</v>
      </c>
      <c r="E480" s="6" t="s">
        <v>60</v>
      </c>
      <c r="F480" s="7">
        <v>2275</v>
      </c>
      <c r="G480" s="7">
        <v>285</v>
      </c>
      <c r="H480" s="7">
        <v>125</v>
      </c>
      <c r="I480" s="7">
        <v>43970</v>
      </c>
      <c r="J480" s="11">
        <v>6.1064362065044349E-2</v>
      </c>
      <c r="K480" s="7">
        <v>74761</v>
      </c>
      <c r="L480" s="7">
        <v>83</v>
      </c>
      <c r="M480" s="6" t="s">
        <v>19</v>
      </c>
      <c r="N480" s="6" t="s">
        <v>18</v>
      </c>
    </row>
    <row r="481" spans="1:14" x14ac:dyDescent="0.25">
      <c r="A481" s="6" t="s">
        <v>358</v>
      </c>
      <c r="B481" s="6" t="s">
        <v>17</v>
      </c>
      <c r="C481" s="9">
        <v>45303</v>
      </c>
      <c r="D481" s="6" t="s">
        <v>53</v>
      </c>
      <c r="E481" s="6" t="s">
        <v>56</v>
      </c>
      <c r="F481" s="7">
        <v>2227</v>
      </c>
      <c r="G481" s="7">
        <v>494</v>
      </c>
      <c r="H481" s="7">
        <v>161</v>
      </c>
      <c r="I481" s="7">
        <v>51651</v>
      </c>
      <c r="J481" s="11">
        <v>5.5797564422760453E-2</v>
      </c>
      <c r="K481" s="7">
        <v>68074</v>
      </c>
      <c r="L481" s="7">
        <v>240</v>
      </c>
      <c r="M481" s="6" t="s">
        <v>19</v>
      </c>
      <c r="N481" s="6" t="s">
        <v>26</v>
      </c>
    </row>
    <row r="482" spans="1:14" x14ac:dyDescent="0.25">
      <c r="A482" s="6" t="s">
        <v>358</v>
      </c>
      <c r="B482" s="6" t="s">
        <v>17</v>
      </c>
      <c r="C482" s="9">
        <v>45303</v>
      </c>
      <c r="D482" s="6" t="s">
        <v>53</v>
      </c>
      <c r="E482" s="6" t="s">
        <v>56</v>
      </c>
      <c r="F482" s="7">
        <v>2227</v>
      </c>
      <c r="G482" s="7">
        <v>494</v>
      </c>
      <c r="H482" s="7">
        <v>161</v>
      </c>
      <c r="I482" s="7">
        <v>51651</v>
      </c>
      <c r="J482" s="11">
        <v>5.5797564422760453E-2</v>
      </c>
      <c r="K482" s="7">
        <v>68074</v>
      </c>
      <c r="L482" s="7">
        <v>240</v>
      </c>
      <c r="M482" s="6" t="s">
        <v>19</v>
      </c>
      <c r="N482" s="6" t="s">
        <v>14</v>
      </c>
    </row>
    <row r="483" spans="1:14" x14ac:dyDescent="0.25">
      <c r="A483" s="6" t="s">
        <v>359</v>
      </c>
      <c r="B483" s="6" t="s">
        <v>11</v>
      </c>
      <c r="C483" s="9">
        <v>45329</v>
      </c>
      <c r="D483" s="6" t="s">
        <v>48</v>
      </c>
      <c r="E483" s="6" t="s">
        <v>58</v>
      </c>
      <c r="F483" s="7">
        <v>1883</v>
      </c>
      <c r="G483" s="7">
        <v>432</v>
      </c>
      <c r="H483" s="7">
        <v>397</v>
      </c>
      <c r="I483" s="7">
        <v>28759</v>
      </c>
      <c r="J483" s="11">
        <v>9.4300914496331587E-2</v>
      </c>
      <c r="K483" s="7">
        <v>18691</v>
      </c>
      <c r="L483" s="7">
        <v>270</v>
      </c>
      <c r="M483" s="6" t="s">
        <v>19</v>
      </c>
      <c r="N483" s="6" t="s">
        <v>22</v>
      </c>
    </row>
    <row r="484" spans="1:14" x14ac:dyDescent="0.25">
      <c r="A484" s="6" t="s">
        <v>359</v>
      </c>
      <c r="B484" s="6" t="s">
        <v>11</v>
      </c>
      <c r="C484" s="9">
        <v>45329</v>
      </c>
      <c r="D484" s="6" t="s">
        <v>48</v>
      </c>
      <c r="E484" s="6" t="s">
        <v>58</v>
      </c>
      <c r="F484" s="7">
        <v>1883</v>
      </c>
      <c r="G484" s="7">
        <v>432</v>
      </c>
      <c r="H484" s="7">
        <v>397</v>
      </c>
      <c r="I484" s="7">
        <v>28759</v>
      </c>
      <c r="J484" s="11">
        <v>9.4300914496331587E-2</v>
      </c>
      <c r="K484" s="7">
        <v>18691</v>
      </c>
      <c r="L484" s="7">
        <v>270</v>
      </c>
      <c r="M484" s="6" t="s">
        <v>19</v>
      </c>
      <c r="N484" s="6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0D79-5E24-4A51-958F-65B408FE6633}">
  <sheetPr>
    <tabColor theme="5" tint="0.59999389629810485"/>
  </sheetPr>
  <dimension ref="A3:J52"/>
  <sheetViews>
    <sheetView zoomScaleNormal="100" workbookViewId="0">
      <selection activeCell="F4" sqref="F4"/>
    </sheetView>
  </sheetViews>
  <sheetFormatPr defaultRowHeight="15" x14ac:dyDescent="0.25"/>
  <cols>
    <col min="1" max="1" width="13.42578125" bestFit="1" customWidth="1"/>
    <col min="2" max="2" width="21" bestFit="1" customWidth="1"/>
    <col min="3" max="3" width="15.5703125" bestFit="1" customWidth="1"/>
    <col min="4" max="4" width="24.28515625" bestFit="1" customWidth="1"/>
    <col min="5" max="5" width="19.7109375" customWidth="1"/>
    <col min="6" max="6" width="18.5703125" bestFit="1" customWidth="1"/>
    <col min="7" max="7" width="22.140625" bestFit="1" customWidth="1"/>
    <col min="8" max="8" width="18.7109375" customWidth="1"/>
    <col min="9" max="9" width="20.28515625" bestFit="1" customWidth="1"/>
    <col min="10" max="10" width="27" bestFit="1" customWidth="1"/>
    <col min="13" max="13" width="10.42578125" bestFit="1" customWidth="1"/>
    <col min="15" max="15" width="24.85546875" bestFit="1" customWidth="1"/>
    <col min="16" max="16" width="16.28515625" bestFit="1" customWidth="1"/>
    <col min="17" max="18" width="11.28515625" bestFit="1" customWidth="1"/>
    <col min="19" max="19" width="28.42578125" bestFit="1" customWidth="1"/>
    <col min="20" max="20" width="16.28515625" bestFit="1" customWidth="1"/>
    <col min="21" max="22" width="11.28515625" bestFit="1" customWidth="1"/>
    <col min="23" max="24" width="12" bestFit="1" customWidth="1"/>
    <col min="25" max="25" width="11" bestFit="1" customWidth="1"/>
    <col min="26" max="32" width="12" bestFit="1" customWidth="1"/>
    <col min="33" max="33" width="8.42578125" bestFit="1" customWidth="1"/>
    <col min="34" max="34" width="4.5703125" bestFit="1" customWidth="1"/>
    <col min="35" max="35" width="8.42578125" bestFit="1" customWidth="1"/>
    <col min="36" max="36" width="4.5703125" bestFit="1" customWidth="1"/>
    <col min="37" max="37" width="8.42578125" bestFit="1" customWidth="1"/>
    <col min="38" max="38" width="4.85546875" bestFit="1" customWidth="1"/>
    <col min="39" max="39" width="8.42578125" bestFit="1" customWidth="1"/>
    <col min="40" max="40" width="3.85546875" bestFit="1" customWidth="1"/>
    <col min="41" max="41" width="8.42578125" bestFit="1" customWidth="1"/>
    <col min="42" max="42" width="3.85546875" bestFit="1" customWidth="1"/>
    <col min="43" max="43" width="8.42578125" bestFit="1" customWidth="1"/>
    <col min="44" max="44" width="4.28515625" bestFit="1" customWidth="1"/>
    <col min="45" max="45" width="8.42578125" bestFit="1" customWidth="1"/>
    <col min="46" max="46" width="4.28515625" bestFit="1" customWidth="1"/>
    <col min="47" max="47" width="8.42578125" bestFit="1" customWidth="1"/>
    <col min="48" max="48" width="4" bestFit="1" customWidth="1"/>
    <col min="49" max="49" width="8.42578125" bestFit="1" customWidth="1"/>
    <col min="50" max="50" width="4.85546875" bestFit="1" customWidth="1"/>
    <col min="51" max="51" width="8.42578125" bestFit="1" customWidth="1"/>
    <col min="52" max="52" width="4.28515625" bestFit="1" customWidth="1"/>
    <col min="53" max="53" width="8.42578125" bestFit="1" customWidth="1"/>
    <col min="54" max="54" width="4.28515625" bestFit="1" customWidth="1"/>
    <col min="55" max="55" width="8.42578125" bestFit="1" customWidth="1"/>
    <col min="56" max="56" width="3.5703125" bestFit="1" customWidth="1"/>
    <col min="57" max="57" width="8.42578125" bestFit="1" customWidth="1"/>
    <col min="58" max="58" width="4.28515625" bestFit="1" customWidth="1"/>
    <col min="59" max="59" width="8.42578125" bestFit="1" customWidth="1"/>
    <col min="60" max="60" width="4.28515625" bestFit="1" customWidth="1"/>
    <col min="61" max="61" width="8.42578125" bestFit="1" customWidth="1"/>
    <col min="62" max="62" width="4.140625" bestFit="1" customWidth="1"/>
    <col min="63" max="63" width="8.42578125" bestFit="1" customWidth="1"/>
    <col min="64" max="64" width="4.28515625" bestFit="1" customWidth="1"/>
    <col min="65" max="65" width="8.42578125" bestFit="1" customWidth="1"/>
    <col min="66" max="66" width="4.5703125" bestFit="1" customWidth="1"/>
    <col min="67" max="67" width="8.42578125" bestFit="1" customWidth="1"/>
    <col min="68" max="68" width="4.28515625" bestFit="1" customWidth="1"/>
    <col min="69" max="69" width="8.42578125" bestFit="1" customWidth="1"/>
    <col min="70" max="70" width="4" bestFit="1" customWidth="1"/>
    <col min="71" max="71" width="8.42578125" bestFit="1" customWidth="1"/>
    <col min="72" max="72" width="4.85546875" bestFit="1" customWidth="1"/>
    <col min="73" max="73" width="8.42578125" bestFit="1" customWidth="1"/>
    <col min="74" max="74" width="4.85546875" bestFit="1" customWidth="1"/>
    <col min="75" max="75" width="8.42578125" bestFit="1" customWidth="1"/>
    <col min="76" max="76" width="4.5703125" bestFit="1" customWidth="1"/>
    <col min="77" max="77" width="8.42578125" bestFit="1" customWidth="1"/>
    <col min="78" max="78" width="4.5703125" bestFit="1" customWidth="1"/>
    <col min="79" max="79" width="8.42578125" bestFit="1" customWidth="1"/>
    <col min="80" max="80" width="4.5703125" bestFit="1" customWidth="1"/>
    <col min="81" max="81" width="8.42578125" bestFit="1" customWidth="1"/>
    <col min="82" max="82" width="3.5703125" bestFit="1" customWidth="1"/>
    <col min="83" max="83" width="8.42578125" bestFit="1" customWidth="1"/>
    <col min="84" max="84" width="3.85546875" bestFit="1" customWidth="1"/>
    <col min="85" max="85" width="8.42578125" bestFit="1" customWidth="1"/>
    <col min="86" max="86" width="4.85546875" bestFit="1" customWidth="1"/>
    <col min="87" max="87" width="8.42578125" bestFit="1" customWidth="1"/>
    <col min="88" max="88" width="4.140625" bestFit="1" customWidth="1"/>
    <col min="89" max="89" width="8.42578125" bestFit="1" customWidth="1"/>
    <col min="90" max="90" width="4.5703125" bestFit="1" customWidth="1"/>
    <col min="91" max="91" width="8.42578125" bestFit="1" customWidth="1"/>
    <col min="92" max="92" width="4.28515625" bestFit="1" customWidth="1"/>
    <col min="93" max="93" width="8.42578125" bestFit="1" customWidth="1"/>
    <col min="94" max="94" width="4.28515625" bestFit="1" customWidth="1"/>
    <col min="95" max="95" width="8.42578125" bestFit="1" customWidth="1"/>
    <col min="96" max="96" width="3.85546875" bestFit="1" customWidth="1"/>
    <col min="97" max="97" width="8.42578125" bestFit="1" customWidth="1"/>
    <col min="98" max="98" width="4" bestFit="1" customWidth="1"/>
    <col min="99" max="99" width="8.42578125" bestFit="1" customWidth="1"/>
    <col min="100" max="100" width="3.85546875" bestFit="1" customWidth="1"/>
    <col min="101" max="101" width="8.42578125" bestFit="1" customWidth="1"/>
    <col min="102" max="102" width="4.85546875" bestFit="1" customWidth="1"/>
    <col min="103" max="103" width="8.42578125" bestFit="1" customWidth="1"/>
    <col min="104" max="104" width="4.28515625" bestFit="1" customWidth="1"/>
    <col min="105" max="105" width="8.42578125" bestFit="1" customWidth="1"/>
    <col min="106" max="106" width="4.85546875" bestFit="1" customWidth="1"/>
    <col min="107" max="107" width="8.42578125" bestFit="1" customWidth="1"/>
    <col min="108" max="108" width="4.85546875" bestFit="1" customWidth="1"/>
    <col min="109" max="109" width="8.42578125" bestFit="1" customWidth="1"/>
    <col min="110" max="110" width="4.28515625" bestFit="1" customWidth="1"/>
    <col min="111" max="111" width="8.42578125" bestFit="1" customWidth="1"/>
    <col min="112" max="112" width="4.42578125" bestFit="1" customWidth="1"/>
    <col min="113" max="113" width="8.42578125" bestFit="1" customWidth="1"/>
    <col min="114" max="114" width="3.5703125" bestFit="1" customWidth="1"/>
    <col min="115" max="115" width="8.42578125" bestFit="1" customWidth="1"/>
    <col min="116" max="116" width="3.85546875" bestFit="1" customWidth="1"/>
    <col min="117" max="117" width="8.42578125" bestFit="1" customWidth="1"/>
    <col min="118" max="118" width="4.85546875" bestFit="1" customWidth="1"/>
    <col min="119" max="119" width="8.42578125" bestFit="1" customWidth="1"/>
    <col min="120" max="120" width="3.85546875" bestFit="1" customWidth="1"/>
    <col min="121" max="121" width="8.42578125" bestFit="1" customWidth="1"/>
    <col min="122" max="122" width="4.5703125" bestFit="1" customWidth="1"/>
    <col min="123" max="123" width="8.42578125" bestFit="1" customWidth="1"/>
    <col min="124" max="124" width="3.85546875" bestFit="1" customWidth="1"/>
    <col min="125" max="125" width="8.42578125" bestFit="1" customWidth="1"/>
    <col min="126" max="126" width="4.85546875" bestFit="1" customWidth="1"/>
    <col min="127" max="127" width="8.42578125" bestFit="1" customWidth="1"/>
    <col min="128" max="128" width="3.5703125" bestFit="1" customWidth="1"/>
    <col min="129" max="129" width="8.42578125" bestFit="1" customWidth="1"/>
    <col min="130" max="130" width="3.85546875" bestFit="1" customWidth="1"/>
    <col min="131" max="131" width="8.42578125" bestFit="1" customWidth="1"/>
    <col min="132" max="132" width="4.28515625" bestFit="1" customWidth="1"/>
    <col min="133" max="133" width="8.42578125" bestFit="1" customWidth="1"/>
    <col min="134" max="134" width="4.28515625" bestFit="1" customWidth="1"/>
    <col min="135" max="135" width="8.42578125" bestFit="1" customWidth="1"/>
    <col min="136" max="136" width="4" bestFit="1" customWidth="1"/>
    <col min="137" max="137" width="8.42578125" bestFit="1" customWidth="1"/>
    <col min="138" max="138" width="4.85546875" bestFit="1" customWidth="1"/>
    <col min="139" max="139" width="8.42578125" bestFit="1" customWidth="1"/>
    <col min="140" max="140" width="4.5703125" bestFit="1" customWidth="1"/>
    <col min="141" max="141" width="8.42578125" bestFit="1" customWidth="1"/>
    <col min="142" max="142" width="4.28515625" bestFit="1" customWidth="1"/>
    <col min="143" max="143" width="8.42578125" bestFit="1" customWidth="1"/>
    <col min="144" max="144" width="4.5703125" bestFit="1" customWidth="1"/>
    <col min="145" max="145" width="8.42578125" bestFit="1" customWidth="1"/>
    <col min="146" max="146" width="4" bestFit="1" customWidth="1"/>
    <col min="147" max="147" width="8.42578125" bestFit="1" customWidth="1"/>
    <col min="148" max="148" width="4.85546875" bestFit="1" customWidth="1"/>
    <col min="149" max="149" width="8.42578125" bestFit="1" customWidth="1"/>
    <col min="150" max="150" width="3.85546875" bestFit="1" customWidth="1"/>
    <col min="151" max="151" width="8.42578125" bestFit="1" customWidth="1"/>
    <col min="152" max="152" width="4.85546875" bestFit="1" customWidth="1"/>
    <col min="153" max="153" width="8.42578125" bestFit="1" customWidth="1"/>
    <col min="154" max="154" width="4.140625" bestFit="1" customWidth="1"/>
    <col min="155" max="155" width="8.42578125" bestFit="1" customWidth="1"/>
    <col min="156" max="156" width="4.140625" bestFit="1" customWidth="1"/>
    <col min="157" max="157" width="8.42578125" bestFit="1" customWidth="1"/>
    <col min="158" max="158" width="4.5703125" bestFit="1" customWidth="1"/>
    <col min="159" max="159" width="8.42578125" bestFit="1" customWidth="1"/>
    <col min="160" max="160" width="4.85546875" bestFit="1" customWidth="1"/>
    <col min="161" max="161" width="8.42578125" bestFit="1" customWidth="1"/>
    <col min="162" max="162" width="4" bestFit="1" customWidth="1"/>
    <col min="163" max="163" width="8.42578125" bestFit="1" customWidth="1"/>
    <col min="164" max="164" width="4.42578125" bestFit="1" customWidth="1"/>
    <col min="165" max="165" width="8.42578125" bestFit="1" customWidth="1"/>
    <col min="166" max="166" width="4.85546875" bestFit="1" customWidth="1"/>
    <col min="167" max="167" width="8.42578125" bestFit="1" customWidth="1"/>
    <col min="168" max="168" width="4.42578125" bestFit="1" customWidth="1"/>
    <col min="169" max="169" width="8.42578125" bestFit="1" customWidth="1"/>
    <col min="170" max="170" width="4.5703125" bestFit="1" customWidth="1"/>
    <col min="171" max="171" width="8.42578125" bestFit="1" customWidth="1"/>
    <col min="172" max="172" width="4.5703125" bestFit="1" customWidth="1"/>
    <col min="173" max="173" width="8.42578125" bestFit="1" customWidth="1"/>
    <col min="174" max="174" width="4.42578125" bestFit="1" customWidth="1"/>
    <col min="175" max="175" width="8.42578125" bestFit="1" customWidth="1"/>
    <col min="176" max="176" width="4.28515625" bestFit="1" customWidth="1"/>
    <col min="177" max="177" width="8.42578125" bestFit="1" customWidth="1"/>
    <col min="178" max="178" width="4" bestFit="1" customWidth="1"/>
    <col min="179" max="179" width="8.42578125" bestFit="1" customWidth="1"/>
    <col min="180" max="180" width="4.140625" bestFit="1" customWidth="1"/>
    <col min="181" max="181" width="8.42578125" bestFit="1" customWidth="1"/>
    <col min="182" max="182" width="4.5703125" bestFit="1" customWidth="1"/>
    <col min="183" max="183" width="8.42578125" bestFit="1" customWidth="1"/>
    <col min="184" max="184" width="4.28515625" bestFit="1" customWidth="1"/>
    <col min="185" max="185" width="8.42578125" bestFit="1" customWidth="1"/>
    <col min="186" max="186" width="3.5703125" bestFit="1" customWidth="1"/>
    <col min="187" max="187" width="8.42578125" bestFit="1" customWidth="1"/>
    <col min="188" max="188" width="4.28515625" bestFit="1" customWidth="1"/>
    <col min="189" max="189" width="8.42578125" bestFit="1" customWidth="1"/>
    <col min="190" max="190" width="4.85546875" bestFit="1" customWidth="1"/>
    <col min="191" max="191" width="8.42578125" bestFit="1" customWidth="1"/>
    <col min="192" max="192" width="4.28515625" bestFit="1" customWidth="1"/>
    <col min="193" max="193" width="8.42578125" bestFit="1" customWidth="1"/>
    <col min="194" max="194" width="4" bestFit="1" customWidth="1"/>
    <col min="195" max="195" width="8.42578125" bestFit="1" customWidth="1"/>
    <col min="196" max="196" width="4.28515625" bestFit="1" customWidth="1"/>
    <col min="197" max="197" width="8.42578125" bestFit="1" customWidth="1"/>
    <col min="198" max="198" width="4" bestFit="1" customWidth="1"/>
    <col min="199" max="199" width="8.42578125" bestFit="1" customWidth="1"/>
    <col min="200" max="200" width="4.28515625" bestFit="1" customWidth="1"/>
    <col min="201" max="201" width="8.42578125" bestFit="1" customWidth="1"/>
    <col min="202" max="202" width="4.28515625" bestFit="1" customWidth="1"/>
    <col min="203" max="203" width="8.42578125" bestFit="1" customWidth="1"/>
    <col min="204" max="204" width="4.28515625" bestFit="1" customWidth="1"/>
    <col min="205" max="205" width="8.42578125" bestFit="1" customWidth="1"/>
    <col min="206" max="206" width="4.5703125" bestFit="1" customWidth="1"/>
    <col min="207" max="207" width="8.42578125" bestFit="1" customWidth="1"/>
    <col min="208" max="208" width="4.5703125" bestFit="1" customWidth="1"/>
    <col min="209" max="209" width="8.42578125" bestFit="1" customWidth="1"/>
    <col min="210" max="210" width="4" bestFit="1" customWidth="1"/>
    <col min="211" max="211" width="8.42578125" bestFit="1" customWidth="1"/>
    <col min="212" max="212" width="4.42578125" bestFit="1" customWidth="1"/>
    <col min="213" max="213" width="8.42578125" bestFit="1" customWidth="1"/>
    <col min="214" max="214" width="4.5703125" bestFit="1" customWidth="1"/>
    <col min="215" max="215" width="8.42578125" bestFit="1" customWidth="1"/>
    <col min="216" max="216" width="4.28515625" bestFit="1" customWidth="1"/>
    <col min="217" max="217" width="8.42578125" bestFit="1" customWidth="1"/>
    <col min="218" max="218" width="4" bestFit="1" customWidth="1"/>
    <col min="219" max="219" width="8.42578125" bestFit="1" customWidth="1"/>
    <col min="220" max="220" width="3.85546875" bestFit="1" customWidth="1"/>
    <col min="221" max="221" width="8.42578125" bestFit="1" customWidth="1"/>
    <col min="222" max="222" width="4.5703125" bestFit="1" customWidth="1"/>
    <col min="223" max="223" width="8.42578125" bestFit="1" customWidth="1"/>
    <col min="224" max="224" width="4.140625" bestFit="1" customWidth="1"/>
    <col min="225" max="225" width="8.42578125" bestFit="1" customWidth="1"/>
    <col min="226" max="226" width="4.28515625" bestFit="1" customWidth="1"/>
    <col min="227" max="227" width="8.42578125" bestFit="1" customWidth="1"/>
    <col min="228" max="228" width="3.85546875" bestFit="1" customWidth="1"/>
    <col min="229" max="229" width="8.42578125" bestFit="1" customWidth="1"/>
    <col min="230" max="230" width="4.5703125" bestFit="1" customWidth="1"/>
    <col min="231" max="231" width="8.42578125" bestFit="1" customWidth="1"/>
    <col min="232" max="232" width="4" bestFit="1" customWidth="1"/>
    <col min="233" max="233" width="8.42578125" bestFit="1" customWidth="1"/>
    <col min="234" max="234" width="4.5703125" bestFit="1" customWidth="1"/>
    <col min="235" max="235" width="8.42578125" bestFit="1" customWidth="1"/>
    <col min="236" max="236" width="4.28515625" bestFit="1" customWidth="1"/>
    <col min="237" max="237" width="8.42578125" bestFit="1" customWidth="1"/>
    <col min="238" max="238" width="4" bestFit="1" customWidth="1"/>
    <col min="239" max="239" width="8.42578125" bestFit="1" customWidth="1"/>
    <col min="240" max="240" width="4" bestFit="1" customWidth="1"/>
    <col min="241" max="241" width="8.42578125" bestFit="1" customWidth="1"/>
    <col min="242" max="242" width="4.85546875" bestFit="1" customWidth="1"/>
    <col min="243" max="243" width="8.42578125" bestFit="1" customWidth="1"/>
    <col min="244" max="244" width="3.85546875" bestFit="1" customWidth="1"/>
    <col min="245" max="245" width="8.42578125" bestFit="1" customWidth="1"/>
    <col min="246" max="246" width="4.85546875" bestFit="1" customWidth="1"/>
    <col min="247" max="247" width="8.42578125" bestFit="1" customWidth="1"/>
    <col min="248" max="248" width="3.5703125" bestFit="1" customWidth="1"/>
    <col min="249" max="249" width="8.42578125" bestFit="1" customWidth="1"/>
    <col min="250" max="250" width="3.5703125" bestFit="1" customWidth="1"/>
    <col min="251" max="251" width="8.42578125" bestFit="1" customWidth="1"/>
    <col min="252" max="252" width="4.140625" bestFit="1" customWidth="1"/>
    <col min="253" max="253" width="8.42578125" bestFit="1" customWidth="1"/>
    <col min="254" max="254" width="4.140625" bestFit="1" customWidth="1"/>
    <col min="255" max="255" width="8.42578125" bestFit="1" customWidth="1"/>
    <col min="256" max="256" width="4.140625" bestFit="1" customWidth="1"/>
    <col min="257" max="257" width="8.42578125" bestFit="1" customWidth="1"/>
    <col min="258" max="258" width="4.5703125" bestFit="1" customWidth="1"/>
    <col min="259" max="259" width="8.42578125" bestFit="1" customWidth="1"/>
    <col min="260" max="260" width="4.42578125" bestFit="1" customWidth="1"/>
    <col min="261" max="261" width="8.42578125" bestFit="1" customWidth="1"/>
    <col min="262" max="262" width="3.5703125" bestFit="1" customWidth="1"/>
    <col min="263" max="263" width="8.42578125" bestFit="1" customWidth="1"/>
    <col min="264" max="264" width="4" bestFit="1" customWidth="1"/>
    <col min="265" max="265" width="8.42578125" bestFit="1" customWidth="1"/>
    <col min="266" max="266" width="4.28515625" bestFit="1" customWidth="1"/>
    <col min="267" max="267" width="8.42578125" bestFit="1" customWidth="1"/>
    <col min="268" max="268" width="3.85546875" bestFit="1" customWidth="1"/>
    <col min="269" max="269" width="8.42578125" bestFit="1" customWidth="1"/>
    <col min="270" max="270" width="4" bestFit="1" customWidth="1"/>
    <col min="271" max="271" width="8.42578125" bestFit="1" customWidth="1"/>
    <col min="272" max="272" width="4" bestFit="1" customWidth="1"/>
    <col min="273" max="273" width="8.42578125" bestFit="1" customWidth="1"/>
    <col min="274" max="274" width="4.140625" bestFit="1" customWidth="1"/>
    <col min="275" max="275" width="8.42578125" bestFit="1" customWidth="1"/>
    <col min="276" max="276" width="4.85546875" bestFit="1" customWidth="1"/>
    <col min="277" max="277" width="8.42578125" bestFit="1" customWidth="1"/>
    <col min="278" max="278" width="4" bestFit="1" customWidth="1"/>
    <col min="279" max="279" width="8.42578125" bestFit="1" customWidth="1"/>
    <col min="280" max="280" width="4.28515625" bestFit="1" customWidth="1"/>
    <col min="281" max="281" width="8.42578125" bestFit="1" customWidth="1"/>
    <col min="282" max="282" width="4.5703125" bestFit="1" customWidth="1"/>
    <col min="283" max="283" width="8.42578125" bestFit="1" customWidth="1"/>
    <col min="284" max="284" width="4" bestFit="1" customWidth="1"/>
    <col min="285" max="285" width="8.42578125" bestFit="1" customWidth="1"/>
    <col min="286" max="286" width="4" bestFit="1" customWidth="1"/>
    <col min="287" max="287" width="8.42578125" bestFit="1" customWidth="1"/>
    <col min="288" max="288" width="3.85546875" bestFit="1" customWidth="1"/>
    <col min="289" max="289" width="8.42578125" bestFit="1" customWidth="1"/>
    <col min="290" max="290" width="4" bestFit="1" customWidth="1"/>
    <col min="291" max="291" width="8.42578125" bestFit="1" customWidth="1"/>
    <col min="292" max="292" width="4.140625" bestFit="1" customWidth="1"/>
    <col min="293" max="293" width="8.42578125" bestFit="1" customWidth="1"/>
    <col min="294" max="294" width="3.85546875" bestFit="1" customWidth="1"/>
    <col min="295" max="295" width="8.42578125" bestFit="1" customWidth="1"/>
    <col min="296" max="296" width="4" bestFit="1" customWidth="1"/>
    <col min="297" max="297" width="8.42578125" bestFit="1" customWidth="1"/>
    <col min="298" max="298" width="4.28515625" bestFit="1" customWidth="1"/>
    <col min="299" max="299" width="8.42578125" bestFit="1" customWidth="1"/>
    <col min="300" max="300" width="4" bestFit="1" customWidth="1"/>
    <col min="301" max="301" width="8.42578125" bestFit="1" customWidth="1"/>
    <col min="302" max="302" width="3.5703125" bestFit="1" customWidth="1"/>
    <col min="303" max="303" width="8.42578125" bestFit="1" customWidth="1"/>
    <col min="304" max="304" width="4.5703125" bestFit="1" customWidth="1"/>
    <col min="305" max="305" width="8.42578125" bestFit="1" customWidth="1"/>
    <col min="306" max="306" width="3.85546875" bestFit="1" customWidth="1"/>
    <col min="307" max="307" width="8.42578125" bestFit="1" customWidth="1"/>
    <col min="308" max="308" width="4" bestFit="1" customWidth="1"/>
    <col min="309" max="309" width="8.42578125" bestFit="1" customWidth="1"/>
    <col min="310" max="310" width="4" bestFit="1" customWidth="1"/>
    <col min="311" max="311" width="8.42578125" bestFit="1" customWidth="1"/>
    <col min="312" max="312" width="4.85546875" bestFit="1" customWidth="1"/>
    <col min="313" max="313" width="8.42578125" bestFit="1" customWidth="1"/>
    <col min="314" max="314" width="4" bestFit="1" customWidth="1"/>
    <col min="315" max="315" width="8.42578125" bestFit="1" customWidth="1"/>
    <col min="316" max="316" width="4.140625" bestFit="1" customWidth="1"/>
    <col min="317" max="317" width="8.42578125" bestFit="1" customWidth="1"/>
    <col min="318" max="318" width="4.42578125" bestFit="1" customWidth="1"/>
    <col min="319" max="319" width="8.42578125" bestFit="1" customWidth="1"/>
    <col min="320" max="320" width="4" bestFit="1" customWidth="1"/>
    <col min="321" max="321" width="8.42578125" bestFit="1" customWidth="1"/>
    <col min="322" max="322" width="3.85546875" bestFit="1" customWidth="1"/>
    <col min="323" max="323" width="8.42578125" bestFit="1" customWidth="1"/>
    <col min="324" max="324" width="4" bestFit="1" customWidth="1"/>
    <col min="325" max="325" width="8.42578125" bestFit="1" customWidth="1"/>
    <col min="326" max="326" width="4.140625" bestFit="1" customWidth="1"/>
    <col min="327" max="327" width="8.42578125" bestFit="1" customWidth="1"/>
    <col min="328" max="328" width="4.42578125" bestFit="1" customWidth="1"/>
    <col min="329" max="329" width="8.42578125" bestFit="1" customWidth="1"/>
    <col min="330" max="330" width="4.28515625" bestFit="1" customWidth="1"/>
    <col min="331" max="331" width="8.42578125" bestFit="1" customWidth="1"/>
    <col min="332" max="332" width="4.85546875" bestFit="1" customWidth="1"/>
    <col min="333" max="333" width="8.42578125" bestFit="1" customWidth="1"/>
    <col min="334" max="334" width="3.85546875" bestFit="1" customWidth="1"/>
    <col min="335" max="335" width="8.42578125" bestFit="1" customWidth="1"/>
    <col min="336" max="336" width="4.5703125" bestFit="1" customWidth="1"/>
    <col min="337" max="337" width="8.42578125" bestFit="1" customWidth="1"/>
    <col min="338" max="338" width="3.5703125" bestFit="1" customWidth="1"/>
    <col min="339" max="339" width="8.42578125" bestFit="1" customWidth="1"/>
    <col min="340" max="340" width="4.85546875" bestFit="1" customWidth="1"/>
    <col min="341" max="341" width="8.42578125" bestFit="1" customWidth="1"/>
    <col min="342" max="342" width="4.28515625" bestFit="1" customWidth="1"/>
    <col min="343" max="343" width="8.42578125" bestFit="1" customWidth="1"/>
    <col min="344" max="344" width="4.140625" bestFit="1" customWidth="1"/>
    <col min="345" max="345" width="8.42578125" bestFit="1" customWidth="1"/>
    <col min="346" max="346" width="4" bestFit="1" customWidth="1"/>
    <col min="347" max="347" width="8.42578125" bestFit="1" customWidth="1"/>
    <col min="348" max="348" width="4.28515625" bestFit="1" customWidth="1"/>
    <col min="349" max="349" width="8.42578125" bestFit="1" customWidth="1"/>
    <col min="350" max="350" width="3.85546875" bestFit="1" customWidth="1"/>
    <col min="351" max="351" width="8.42578125" bestFit="1" customWidth="1"/>
    <col min="352" max="352" width="4.140625" bestFit="1" customWidth="1"/>
    <col min="353" max="353" width="8.42578125" bestFit="1" customWidth="1"/>
    <col min="354" max="354" width="4.28515625" bestFit="1" customWidth="1"/>
    <col min="355" max="355" width="8.42578125" bestFit="1" customWidth="1"/>
    <col min="356" max="356" width="4.28515625" bestFit="1" customWidth="1"/>
    <col min="357" max="357" width="8.42578125" bestFit="1" customWidth="1"/>
    <col min="358" max="358" width="4" bestFit="1" customWidth="1"/>
    <col min="359" max="359" width="8.42578125" bestFit="1" customWidth="1"/>
    <col min="360" max="360" width="3.85546875" bestFit="1" customWidth="1"/>
    <col min="361" max="361" width="8.42578125" bestFit="1" customWidth="1"/>
    <col min="362" max="362" width="4" bestFit="1" customWidth="1"/>
    <col min="363" max="363" width="8.42578125" bestFit="1" customWidth="1"/>
    <col min="364" max="364" width="3.85546875" bestFit="1" customWidth="1"/>
    <col min="365" max="365" width="8.42578125" bestFit="1" customWidth="1"/>
    <col min="366" max="366" width="4.28515625" bestFit="1" customWidth="1"/>
    <col min="367" max="367" width="8.42578125" bestFit="1" customWidth="1"/>
    <col min="368" max="368" width="4.140625" bestFit="1" customWidth="1"/>
    <col min="369" max="369" width="8.42578125" bestFit="1" customWidth="1"/>
    <col min="370" max="370" width="4.28515625" bestFit="1" customWidth="1"/>
    <col min="371" max="371" width="8.42578125" bestFit="1" customWidth="1"/>
    <col min="372" max="372" width="3.85546875" bestFit="1" customWidth="1"/>
    <col min="373" max="373" width="8.42578125" bestFit="1" customWidth="1"/>
    <col min="374" max="374" width="4.28515625" bestFit="1" customWidth="1"/>
    <col min="375" max="375" width="8.42578125" bestFit="1" customWidth="1"/>
    <col min="376" max="376" width="4.85546875" bestFit="1" customWidth="1"/>
    <col min="377" max="377" width="8.42578125" bestFit="1" customWidth="1"/>
    <col min="378" max="378" width="4.5703125" bestFit="1" customWidth="1"/>
    <col min="379" max="379" width="8.42578125" bestFit="1" customWidth="1"/>
    <col min="380" max="380" width="4.85546875" bestFit="1" customWidth="1"/>
    <col min="381" max="381" width="8.42578125" bestFit="1" customWidth="1"/>
    <col min="382" max="382" width="4.5703125" bestFit="1" customWidth="1"/>
    <col min="383" max="383" width="9.42578125" bestFit="1" customWidth="1"/>
    <col min="384" max="384" width="4.85546875" bestFit="1" customWidth="1"/>
    <col min="385" max="385" width="9.42578125" bestFit="1" customWidth="1"/>
    <col min="386" max="386" width="4.5703125" bestFit="1" customWidth="1"/>
    <col min="387" max="387" width="9.42578125" bestFit="1" customWidth="1"/>
    <col min="388" max="388" width="4.85546875" bestFit="1" customWidth="1"/>
    <col min="389" max="389" width="9.42578125" bestFit="1" customWidth="1"/>
    <col min="390" max="390" width="4.5703125" bestFit="1" customWidth="1"/>
    <col min="391" max="391" width="9.42578125" bestFit="1" customWidth="1"/>
    <col min="392" max="392" width="4.5703125" bestFit="1" customWidth="1"/>
    <col min="393" max="393" width="9.42578125" bestFit="1" customWidth="1"/>
    <col min="394" max="394" width="4.5703125" bestFit="1" customWidth="1"/>
    <col min="395" max="395" width="9.42578125" bestFit="1" customWidth="1"/>
    <col min="396" max="396" width="4.5703125" bestFit="1" customWidth="1"/>
    <col min="397" max="397" width="9.42578125" bestFit="1" customWidth="1"/>
    <col min="398" max="398" width="4.5703125" bestFit="1" customWidth="1"/>
    <col min="399" max="399" width="9.42578125" bestFit="1" customWidth="1"/>
    <col min="400" max="400" width="4.5703125" bestFit="1" customWidth="1"/>
    <col min="401" max="401" width="9.42578125" bestFit="1" customWidth="1"/>
    <col min="402" max="402" width="4.5703125" bestFit="1" customWidth="1"/>
    <col min="403" max="403" width="9.42578125" bestFit="1" customWidth="1"/>
    <col min="404" max="404" width="4.5703125" bestFit="1" customWidth="1"/>
    <col min="405" max="405" width="9.42578125" bestFit="1" customWidth="1"/>
    <col min="406" max="406" width="4.5703125" bestFit="1" customWidth="1"/>
    <col min="407" max="407" width="9.42578125" bestFit="1" customWidth="1"/>
    <col min="408" max="408" width="4.5703125" bestFit="1" customWidth="1"/>
    <col min="409" max="409" width="9.42578125" bestFit="1" customWidth="1"/>
    <col min="410" max="410" width="4.5703125" bestFit="1" customWidth="1"/>
    <col min="411" max="411" width="9.42578125" bestFit="1" customWidth="1"/>
    <col min="412" max="412" width="4.85546875" bestFit="1" customWidth="1"/>
    <col min="413" max="413" width="9.42578125" bestFit="1" customWidth="1"/>
    <col min="414" max="414" width="4.5703125" bestFit="1" customWidth="1"/>
    <col min="415" max="415" width="9.42578125" bestFit="1" customWidth="1"/>
    <col min="416" max="416" width="4.5703125" bestFit="1" customWidth="1"/>
    <col min="417" max="417" width="9.42578125" bestFit="1" customWidth="1"/>
    <col min="418" max="418" width="4.5703125" bestFit="1" customWidth="1"/>
    <col min="419" max="419" width="9.42578125" bestFit="1" customWidth="1"/>
    <col min="420" max="420" width="4.5703125" bestFit="1" customWidth="1"/>
    <col min="421" max="421" width="9.42578125" bestFit="1" customWidth="1"/>
    <col min="422" max="422" width="4.5703125" bestFit="1" customWidth="1"/>
    <col min="423" max="423" width="9.42578125" bestFit="1" customWidth="1"/>
    <col min="424" max="424" width="4.5703125" bestFit="1" customWidth="1"/>
    <col min="425" max="425" width="9.42578125" bestFit="1" customWidth="1"/>
    <col min="426" max="426" width="4.5703125" bestFit="1" customWidth="1"/>
    <col min="427" max="427" width="9.42578125" bestFit="1" customWidth="1"/>
    <col min="428" max="428" width="4.5703125" bestFit="1" customWidth="1"/>
    <col min="429" max="429" width="9.42578125" bestFit="1" customWidth="1"/>
    <col min="430" max="430" width="4.5703125" bestFit="1" customWidth="1"/>
    <col min="431" max="431" width="9.42578125" bestFit="1" customWidth="1"/>
    <col min="432" max="432" width="4.85546875" bestFit="1" customWidth="1"/>
    <col min="433" max="433" width="9.42578125" bestFit="1" customWidth="1"/>
    <col min="434" max="434" width="4.5703125" bestFit="1" customWidth="1"/>
    <col min="435" max="435" width="9.42578125" bestFit="1" customWidth="1"/>
    <col min="436" max="436" width="4.5703125" bestFit="1" customWidth="1"/>
    <col min="437" max="437" width="9.42578125" bestFit="1" customWidth="1"/>
    <col min="438" max="438" width="4.5703125" bestFit="1" customWidth="1"/>
    <col min="439" max="439" width="9.42578125" bestFit="1" customWidth="1"/>
    <col min="440" max="440" width="4.5703125" bestFit="1" customWidth="1"/>
    <col min="441" max="441" width="9.42578125" bestFit="1" customWidth="1"/>
    <col min="442" max="442" width="4.85546875" bestFit="1" customWidth="1"/>
    <col min="443" max="443" width="9.42578125" bestFit="1" customWidth="1"/>
    <col min="444" max="444" width="4.5703125" bestFit="1" customWidth="1"/>
    <col min="445" max="445" width="9.42578125" bestFit="1" customWidth="1"/>
    <col min="446" max="446" width="4.5703125" bestFit="1" customWidth="1"/>
    <col min="447" max="447" width="9.42578125" bestFit="1" customWidth="1"/>
    <col min="448" max="448" width="4.5703125" bestFit="1" customWidth="1"/>
    <col min="449" max="449" width="9.42578125" bestFit="1" customWidth="1"/>
    <col min="450" max="450" width="4.5703125" bestFit="1" customWidth="1"/>
    <col min="451" max="451" width="9.42578125" bestFit="1" customWidth="1"/>
    <col min="452" max="452" width="4.5703125" bestFit="1" customWidth="1"/>
    <col min="453" max="453" width="9.42578125" bestFit="1" customWidth="1"/>
    <col min="454" max="454" width="4.5703125" bestFit="1" customWidth="1"/>
    <col min="455" max="455" width="9.42578125" bestFit="1" customWidth="1"/>
    <col min="456" max="456" width="4.5703125" bestFit="1" customWidth="1"/>
    <col min="457" max="457" width="9.42578125" bestFit="1" customWidth="1"/>
    <col min="458" max="458" width="4.5703125" bestFit="1" customWidth="1"/>
    <col min="459" max="459" width="9.42578125" bestFit="1" customWidth="1"/>
    <col min="460" max="460" width="4.5703125" bestFit="1" customWidth="1"/>
    <col min="461" max="461" width="9.42578125" bestFit="1" customWidth="1"/>
    <col min="462" max="462" width="4.5703125" bestFit="1" customWidth="1"/>
    <col min="463" max="463" width="9.42578125" bestFit="1" customWidth="1"/>
    <col min="464" max="464" width="4.5703125" bestFit="1" customWidth="1"/>
    <col min="465" max="465" width="9.42578125" bestFit="1" customWidth="1"/>
    <col min="466" max="466" width="4.5703125" bestFit="1" customWidth="1"/>
    <col min="467" max="467" width="9.42578125" bestFit="1" customWidth="1"/>
    <col min="468" max="468" width="4.5703125" bestFit="1" customWidth="1"/>
    <col min="469" max="469" width="9.42578125" bestFit="1" customWidth="1"/>
    <col min="470" max="470" width="4.85546875" bestFit="1" customWidth="1"/>
    <col min="471" max="471" width="9.42578125" bestFit="1" customWidth="1"/>
    <col min="472" max="472" width="4.5703125" bestFit="1" customWidth="1"/>
    <col min="473" max="473" width="9.42578125" bestFit="1" customWidth="1"/>
    <col min="474" max="474" width="4.5703125" bestFit="1" customWidth="1"/>
    <col min="475" max="475" width="9.42578125" bestFit="1" customWidth="1"/>
    <col min="476" max="476" width="4.85546875" bestFit="1" customWidth="1"/>
    <col min="477" max="477" width="9.42578125" bestFit="1" customWidth="1"/>
    <col min="478" max="478" width="4.85546875" bestFit="1" customWidth="1"/>
    <col min="479" max="479" width="9.42578125" bestFit="1" customWidth="1"/>
    <col min="480" max="480" width="4.5703125" bestFit="1" customWidth="1"/>
    <col min="481" max="481" width="9.42578125" bestFit="1" customWidth="1"/>
    <col min="482" max="482" width="4.5703125" bestFit="1" customWidth="1"/>
    <col min="483" max="483" width="9.42578125" bestFit="1" customWidth="1"/>
    <col min="484" max="484" width="4.85546875" bestFit="1" customWidth="1"/>
    <col min="485" max="485" width="9.42578125" bestFit="1" customWidth="1"/>
    <col min="486" max="486" width="4.5703125" bestFit="1" customWidth="1"/>
    <col min="487" max="487" width="9.42578125" bestFit="1" customWidth="1"/>
    <col min="488" max="488" width="4.5703125" bestFit="1" customWidth="1"/>
    <col min="489" max="489" width="9.42578125" bestFit="1" customWidth="1"/>
    <col min="490" max="490" width="4.5703125" bestFit="1" customWidth="1"/>
    <col min="491" max="491" width="9.42578125" bestFit="1" customWidth="1"/>
    <col min="492" max="492" width="4.5703125" bestFit="1" customWidth="1"/>
    <col min="493" max="493" width="9.42578125" bestFit="1" customWidth="1"/>
    <col min="494" max="494" width="4.5703125" bestFit="1" customWidth="1"/>
    <col min="495" max="495" width="9.42578125" bestFit="1" customWidth="1"/>
    <col min="496" max="496" width="4.5703125" bestFit="1" customWidth="1"/>
    <col min="497" max="497" width="9.42578125" bestFit="1" customWidth="1"/>
    <col min="498" max="498" width="4.5703125" bestFit="1" customWidth="1"/>
    <col min="499" max="499" width="9.42578125" bestFit="1" customWidth="1"/>
    <col min="500" max="500" width="4.5703125" bestFit="1" customWidth="1"/>
    <col min="501" max="501" width="9.42578125" bestFit="1" customWidth="1"/>
    <col min="502" max="502" width="4.85546875" bestFit="1" customWidth="1"/>
    <col min="503" max="503" width="9.42578125" bestFit="1" customWidth="1"/>
    <col min="504" max="504" width="4.85546875" bestFit="1" customWidth="1"/>
    <col min="505" max="505" width="9.42578125" bestFit="1" customWidth="1"/>
    <col min="506" max="506" width="4.5703125" bestFit="1" customWidth="1"/>
    <col min="507" max="507" width="9.42578125" bestFit="1" customWidth="1"/>
    <col min="508" max="508" width="4.5703125" bestFit="1" customWidth="1"/>
    <col min="509" max="509" width="9.42578125" bestFit="1" customWidth="1"/>
    <col min="510" max="510" width="4.5703125" bestFit="1" customWidth="1"/>
    <col min="511" max="511" width="9.42578125" bestFit="1" customWidth="1"/>
    <col min="512" max="512" width="4.5703125" bestFit="1" customWidth="1"/>
    <col min="513" max="513" width="9.42578125" bestFit="1" customWidth="1"/>
    <col min="514" max="514" width="4.85546875" bestFit="1" customWidth="1"/>
    <col min="515" max="515" width="9.42578125" bestFit="1" customWidth="1"/>
    <col min="516" max="516" width="4.5703125" bestFit="1" customWidth="1"/>
    <col min="517" max="517" width="9.42578125" bestFit="1" customWidth="1"/>
    <col min="518" max="518" width="4.5703125" bestFit="1" customWidth="1"/>
    <col min="519" max="519" width="9.42578125" bestFit="1" customWidth="1"/>
    <col min="520" max="520" width="4.5703125" bestFit="1" customWidth="1"/>
    <col min="521" max="521" width="9.42578125" bestFit="1" customWidth="1"/>
    <col min="522" max="522" width="4.5703125" bestFit="1" customWidth="1"/>
    <col min="523" max="523" width="9.42578125" bestFit="1" customWidth="1"/>
    <col min="524" max="524" width="4.5703125" bestFit="1" customWidth="1"/>
    <col min="525" max="525" width="9.42578125" bestFit="1" customWidth="1"/>
    <col min="526" max="526" width="4.5703125" bestFit="1" customWidth="1"/>
    <col min="527" max="527" width="9.42578125" bestFit="1" customWidth="1"/>
    <col min="528" max="528" width="4.5703125" bestFit="1" customWidth="1"/>
    <col min="529" max="529" width="9.42578125" bestFit="1" customWidth="1"/>
    <col min="530" max="530" width="4.5703125" bestFit="1" customWidth="1"/>
    <col min="531" max="531" width="9.42578125" bestFit="1" customWidth="1"/>
    <col min="532" max="532" width="4.5703125" bestFit="1" customWidth="1"/>
    <col min="533" max="533" width="9.42578125" bestFit="1" customWidth="1"/>
    <col min="534" max="534" width="4.5703125" bestFit="1" customWidth="1"/>
    <col min="535" max="535" width="9.42578125" bestFit="1" customWidth="1"/>
    <col min="536" max="536" width="4.5703125" bestFit="1" customWidth="1"/>
    <col min="537" max="537" width="9.42578125" bestFit="1" customWidth="1"/>
    <col min="538" max="538" width="4.5703125" bestFit="1" customWidth="1"/>
    <col min="539" max="539" width="9.42578125" bestFit="1" customWidth="1"/>
    <col min="540" max="540" width="4.5703125" bestFit="1" customWidth="1"/>
    <col min="541" max="541" width="9.42578125" bestFit="1" customWidth="1"/>
    <col min="542" max="542" width="4.5703125" bestFit="1" customWidth="1"/>
    <col min="543" max="543" width="9.42578125" bestFit="1" customWidth="1"/>
    <col min="544" max="544" width="4.5703125" bestFit="1" customWidth="1"/>
    <col min="545" max="545" width="9.42578125" bestFit="1" customWidth="1"/>
    <col min="546" max="546" width="4.5703125" bestFit="1" customWidth="1"/>
    <col min="547" max="547" width="9.42578125" bestFit="1" customWidth="1"/>
    <col min="548" max="548" width="4.5703125" bestFit="1" customWidth="1"/>
    <col min="549" max="549" width="9.42578125" bestFit="1" customWidth="1"/>
    <col min="550" max="550" width="4.5703125" bestFit="1" customWidth="1"/>
    <col min="551" max="551" width="9.42578125" bestFit="1" customWidth="1"/>
    <col min="552" max="552" width="4.5703125" bestFit="1" customWidth="1"/>
    <col min="553" max="553" width="9.42578125" bestFit="1" customWidth="1"/>
    <col min="554" max="554" width="4.5703125" bestFit="1" customWidth="1"/>
    <col min="555" max="555" width="9.42578125" bestFit="1" customWidth="1"/>
    <col min="556" max="556" width="4.85546875" bestFit="1" customWidth="1"/>
    <col min="557" max="557" width="9.42578125" bestFit="1" customWidth="1"/>
    <col min="558" max="558" width="4.5703125" bestFit="1" customWidth="1"/>
    <col min="559" max="559" width="9.42578125" bestFit="1" customWidth="1"/>
    <col min="560" max="560" width="4.5703125" bestFit="1" customWidth="1"/>
    <col min="561" max="561" width="9.42578125" bestFit="1" customWidth="1"/>
    <col min="562" max="562" width="4.5703125" bestFit="1" customWidth="1"/>
    <col min="563" max="563" width="9.42578125" bestFit="1" customWidth="1"/>
    <col min="564" max="564" width="4.5703125" bestFit="1" customWidth="1"/>
    <col min="565" max="565" width="9.42578125" bestFit="1" customWidth="1"/>
    <col min="566" max="566" width="4.5703125" bestFit="1" customWidth="1"/>
    <col min="567" max="567" width="9.42578125" bestFit="1" customWidth="1"/>
    <col min="568" max="568" width="4.5703125" bestFit="1" customWidth="1"/>
    <col min="569" max="569" width="9.42578125" bestFit="1" customWidth="1"/>
    <col min="570" max="570" width="4.5703125" bestFit="1" customWidth="1"/>
    <col min="571" max="571" width="9.42578125" bestFit="1" customWidth="1"/>
    <col min="572" max="572" width="4.5703125" bestFit="1" customWidth="1"/>
    <col min="573" max="573" width="9.42578125" bestFit="1" customWidth="1"/>
    <col min="574" max="574" width="4.5703125" bestFit="1" customWidth="1"/>
    <col min="575" max="575" width="9.42578125" bestFit="1" customWidth="1"/>
    <col min="576" max="576" width="4.5703125" bestFit="1" customWidth="1"/>
    <col min="577" max="577" width="9.42578125" bestFit="1" customWidth="1"/>
    <col min="578" max="578" width="4.5703125" bestFit="1" customWidth="1"/>
    <col min="579" max="579" width="9.42578125" bestFit="1" customWidth="1"/>
    <col min="580" max="580" width="4.5703125" bestFit="1" customWidth="1"/>
    <col min="581" max="581" width="9.42578125" bestFit="1" customWidth="1"/>
    <col min="582" max="582" width="4.5703125" bestFit="1" customWidth="1"/>
    <col min="583" max="583" width="9.42578125" bestFit="1" customWidth="1"/>
    <col min="584" max="584" width="4.5703125" bestFit="1" customWidth="1"/>
    <col min="585" max="585" width="9.42578125" bestFit="1" customWidth="1"/>
    <col min="586" max="586" width="4.5703125" bestFit="1" customWidth="1"/>
    <col min="587" max="587" width="9.42578125" bestFit="1" customWidth="1"/>
    <col min="588" max="588" width="4.5703125" bestFit="1" customWidth="1"/>
    <col min="589" max="589" width="9.42578125" bestFit="1" customWidth="1"/>
    <col min="590" max="590" width="4.5703125" bestFit="1" customWidth="1"/>
    <col min="591" max="591" width="9.42578125" bestFit="1" customWidth="1"/>
    <col min="592" max="592" width="4.5703125" bestFit="1" customWidth="1"/>
    <col min="593" max="593" width="9.42578125" bestFit="1" customWidth="1"/>
    <col min="594" max="594" width="4.85546875" bestFit="1" customWidth="1"/>
    <col min="595" max="595" width="9.42578125" bestFit="1" customWidth="1"/>
    <col min="596" max="596" width="4.5703125" bestFit="1" customWidth="1"/>
    <col min="597" max="597" width="9.42578125" bestFit="1" customWidth="1"/>
    <col min="598" max="598" width="4.5703125" bestFit="1" customWidth="1"/>
    <col min="599" max="599" width="9.42578125" bestFit="1" customWidth="1"/>
    <col min="600" max="600" width="4.5703125" bestFit="1" customWidth="1"/>
    <col min="601" max="601" width="9.42578125" bestFit="1" customWidth="1"/>
    <col min="602" max="602" width="4.5703125" bestFit="1" customWidth="1"/>
    <col min="603" max="603" width="9.42578125" bestFit="1" customWidth="1"/>
    <col min="604" max="604" width="4.5703125" bestFit="1" customWidth="1"/>
    <col min="605" max="605" width="9.42578125" bestFit="1" customWidth="1"/>
    <col min="606" max="606" width="4.5703125" bestFit="1" customWidth="1"/>
    <col min="607" max="607" width="9.42578125" bestFit="1" customWidth="1"/>
    <col min="608" max="608" width="4.5703125" bestFit="1" customWidth="1"/>
    <col min="609" max="609" width="9.42578125" bestFit="1" customWidth="1"/>
    <col min="610" max="610" width="4.5703125" bestFit="1" customWidth="1"/>
    <col min="611" max="611" width="9.42578125" bestFit="1" customWidth="1"/>
    <col min="612" max="612" width="4.5703125" bestFit="1" customWidth="1"/>
    <col min="613" max="613" width="9.42578125" bestFit="1" customWidth="1"/>
    <col min="614" max="614" width="4.5703125" bestFit="1" customWidth="1"/>
    <col min="615" max="615" width="9.42578125" bestFit="1" customWidth="1"/>
    <col min="616" max="616" width="4.5703125" bestFit="1" customWidth="1"/>
    <col min="617" max="617" width="9.42578125" bestFit="1" customWidth="1"/>
    <col min="618" max="618" width="4.5703125" bestFit="1" customWidth="1"/>
    <col min="619" max="619" width="9.42578125" bestFit="1" customWidth="1"/>
    <col min="620" max="620" width="11.28515625" bestFit="1" customWidth="1"/>
  </cols>
  <sheetData>
    <row r="3" spans="1:10" x14ac:dyDescent="0.25">
      <c r="A3" s="54" t="s">
        <v>381</v>
      </c>
      <c r="B3" s="54"/>
      <c r="C3" s="54"/>
      <c r="D3" s="54"/>
      <c r="E3" s="54"/>
      <c r="F3" s="54"/>
      <c r="G3" s="54"/>
    </row>
    <row r="4" spans="1:10" x14ac:dyDescent="0.25">
      <c r="A4" s="25" t="s">
        <v>361</v>
      </c>
      <c r="B4" s="25" t="s">
        <v>362</v>
      </c>
      <c r="C4" s="25" t="s">
        <v>369</v>
      </c>
      <c r="D4" s="25" t="s">
        <v>367</v>
      </c>
      <c r="E4" s="25" t="s">
        <v>364</v>
      </c>
      <c r="F4" s="25" t="s">
        <v>366</v>
      </c>
      <c r="G4" s="25" t="s">
        <v>368</v>
      </c>
    </row>
    <row r="5" spans="1:10" x14ac:dyDescent="0.25">
      <c r="A5" s="18" t="s">
        <v>19</v>
      </c>
      <c r="B5" s="19">
        <v>471034</v>
      </c>
      <c r="C5" s="19">
        <v>3058.6623376623374</v>
      </c>
      <c r="D5" s="19">
        <v>28708</v>
      </c>
      <c r="E5" s="19">
        <v>186.41558441558442</v>
      </c>
      <c r="F5" s="19">
        <v>6331868</v>
      </c>
      <c r="G5" s="19">
        <v>41116.025974025972</v>
      </c>
    </row>
    <row r="6" spans="1:10" x14ac:dyDescent="0.25">
      <c r="A6" s="18" t="s">
        <v>23</v>
      </c>
      <c r="B6" s="19">
        <v>274455</v>
      </c>
      <c r="C6" s="19">
        <v>2919.7340425531916</v>
      </c>
      <c r="D6" s="19">
        <v>18717</v>
      </c>
      <c r="E6" s="19">
        <v>199.11702127659575</v>
      </c>
      <c r="F6" s="19">
        <v>4039305</v>
      </c>
      <c r="G6" s="19">
        <v>42971.329787234041</v>
      </c>
    </row>
    <row r="7" spans="1:10" x14ac:dyDescent="0.25">
      <c r="A7" s="18" t="s">
        <v>9</v>
      </c>
      <c r="B7" s="19">
        <v>89871</v>
      </c>
      <c r="C7" s="19">
        <v>3099</v>
      </c>
      <c r="D7" s="19">
        <v>5557</v>
      </c>
      <c r="E7" s="19">
        <v>191.62068965517241</v>
      </c>
      <c r="F7" s="19">
        <v>1233853</v>
      </c>
      <c r="G7" s="19">
        <v>42546.65517241379</v>
      </c>
    </row>
    <row r="8" spans="1:10" x14ac:dyDescent="0.25">
      <c r="A8" s="18" t="s">
        <v>15</v>
      </c>
      <c r="B8" s="19">
        <v>61815</v>
      </c>
      <c r="C8" s="19">
        <v>2687.608695652174</v>
      </c>
      <c r="D8" s="19">
        <v>4614</v>
      </c>
      <c r="E8" s="19">
        <v>200.60869565217391</v>
      </c>
      <c r="F8" s="19">
        <v>865406</v>
      </c>
      <c r="G8" s="19">
        <v>37626.34782608696</v>
      </c>
    </row>
    <row r="12" spans="1:10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35"/>
    </row>
    <row r="14" spans="1:10" s="2" customFormat="1" hidden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idden="1" x14ac:dyDescent="0.25">
      <c r="A15" s="32"/>
      <c r="B15" s="36"/>
      <c r="C15" s="36"/>
      <c r="D15" s="31"/>
      <c r="E15" s="36"/>
      <c r="F15" s="37"/>
      <c r="G15" s="31"/>
      <c r="H15" s="31"/>
      <c r="I15" s="31"/>
      <c r="J15" s="38"/>
    </row>
    <row r="16" spans="1:10" hidden="1" x14ac:dyDescent="0.25">
      <c r="A16" s="39"/>
      <c r="B16" s="36"/>
      <c r="C16" s="36"/>
      <c r="D16" s="31"/>
      <c r="E16" s="36"/>
      <c r="F16" s="31"/>
      <c r="G16" s="31"/>
      <c r="H16" s="31"/>
      <c r="I16" s="31"/>
      <c r="J16" s="38"/>
    </row>
    <row r="17" spans="1:10" hidden="1" x14ac:dyDescent="0.25">
      <c r="A17" s="32"/>
      <c r="B17" s="36"/>
      <c r="C17" s="36"/>
      <c r="D17" s="31"/>
      <c r="E17" s="36"/>
      <c r="F17" s="31"/>
      <c r="G17" s="31"/>
      <c r="H17" s="31"/>
      <c r="I17" s="31"/>
      <c r="J17" s="38"/>
    </row>
    <row r="18" spans="1:10" hidden="1" x14ac:dyDescent="0.25">
      <c r="A18" s="39"/>
      <c r="B18" s="36"/>
      <c r="C18" s="36"/>
      <c r="D18" s="31"/>
      <c r="E18" s="36"/>
      <c r="F18" s="31"/>
      <c r="G18" s="31"/>
      <c r="H18" s="31"/>
      <c r="I18" s="31"/>
      <c r="J18" s="38"/>
    </row>
    <row r="19" spans="1:10" hidden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31"/>
    </row>
    <row r="21" spans="1:10" x14ac:dyDescent="0.25">
      <c r="A21" s="32"/>
      <c r="B21" s="36"/>
      <c r="C21" s="36"/>
      <c r="D21" s="31"/>
      <c r="E21" s="36"/>
      <c r="F21" s="40"/>
      <c r="G21" s="41"/>
      <c r="H21" s="41"/>
      <c r="I21" s="42"/>
      <c r="J21" s="31"/>
    </row>
    <row r="22" spans="1:10" x14ac:dyDescent="0.25">
      <c r="A22" s="39"/>
      <c r="B22" s="36"/>
      <c r="C22" s="36"/>
      <c r="D22" s="31"/>
      <c r="E22" s="36"/>
      <c r="F22" s="40"/>
      <c r="G22" s="41"/>
      <c r="H22" s="41"/>
      <c r="I22" s="42"/>
      <c r="J22" s="31"/>
    </row>
    <row r="23" spans="1:10" x14ac:dyDescent="0.25">
      <c r="A23" s="32"/>
      <c r="B23" s="36"/>
      <c r="C23" s="36"/>
      <c r="D23" s="31"/>
      <c r="E23" s="36"/>
      <c r="F23" s="40"/>
      <c r="G23" s="41"/>
      <c r="H23" s="41"/>
      <c r="I23" s="42"/>
      <c r="J23" s="31"/>
    </row>
    <row r="24" spans="1:10" x14ac:dyDescent="0.25">
      <c r="A24" s="39"/>
      <c r="B24" s="36"/>
      <c r="C24" s="36"/>
      <c r="D24" s="31"/>
      <c r="E24" s="36"/>
      <c r="F24" s="40"/>
      <c r="G24" s="41"/>
      <c r="H24" s="41"/>
      <c r="I24" s="42"/>
      <c r="J24" s="31"/>
    </row>
    <row r="25" spans="1:10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</row>
    <row r="27" spans="1:10" x14ac:dyDescent="0.25">
      <c r="A27" s="43"/>
      <c r="B27" s="43"/>
      <c r="C27" s="43"/>
      <c r="D27" s="43"/>
    </row>
    <row r="28" spans="1:10" x14ac:dyDescent="0.25">
      <c r="A28" s="4"/>
      <c r="B28" s="44"/>
      <c r="C28" s="44"/>
      <c r="D28" s="44"/>
    </row>
    <row r="29" spans="1:10" x14ac:dyDescent="0.25">
      <c r="A29" s="39"/>
      <c r="B29" s="37"/>
      <c r="C29" s="37"/>
      <c r="D29" s="45"/>
    </row>
    <row r="30" spans="1:10" x14ac:dyDescent="0.25">
      <c r="A30" s="32"/>
      <c r="B30" s="37"/>
      <c r="C30" s="37"/>
      <c r="D30" s="45"/>
    </row>
    <row r="31" spans="1:10" x14ac:dyDescent="0.25">
      <c r="A31" s="39"/>
      <c r="B31" s="37"/>
      <c r="C31" s="37"/>
      <c r="D31" s="45"/>
    </row>
    <row r="32" spans="1:10" x14ac:dyDescent="0.25">
      <c r="A32" s="32"/>
      <c r="B32" s="37"/>
      <c r="C32" s="37"/>
      <c r="D32" s="45"/>
    </row>
    <row r="35" spans="1:10" x14ac:dyDescent="0.25">
      <c r="A35" s="46"/>
    </row>
    <row r="36" spans="1:10" x14ac:dyDescent="0.25">
      <c r="A36" s="43"/>
      <c r="B36" s="43"/>
      <c r="C36" s="43"/>
      <c r="D36" s="43"/>
      <c r="E36" s="43"/>
      <c r="F36" s="5"/>
    </row>
    <row r="37" spans="1:10" x14ac:dyDescent="0.25">
      <c r="A37" s="43"/>
      <c r="B37" s="43"/>
      <c r="C37" s="43"/>
      <c r="D37" s="43"/>
      <c r="E37" s="43"/>
      <c r="F37" s="4"/>
    </row>
    <row r="38" spans="1:10" x14ac:dyDescent="0.25">
      <c r="A38" s="43"/>
      <c r="B38" s="43"/>
      <c r="C38" s="43"/>
      <c r="D38" s="43"/>
      <c r="E38" s="43"/>
      <c r="F38" s="31"/>
    </row>
    <row r="39" spans="1:10" x14ac:dyDescent="0.25">
      <c r="A39" s="43"/>
      <c r="B39" s="43"/>
      <c r="C39" s="43"/>
      <c r="D39" s="43"/>
      <c r="E39" s="43"/>
      <c r="F39" s="31"/>
    </row>
    <row r="40" spans="1:10" x14ac:dyDescent="0.25">
      <c r="A40" s="43"/>
      <c r="B40" s="43"/>
      <c r="C40" s="43"/>
      <c r="D40" s="43"/>
      <c r="E40" s="43"/>
      <c r="F40" s="31"/>
    </row>
    <row r="41" spans="1:10" x14ac:dyDescent="0.25">
      <c r="A41" s="43"/>
      <c r="B41" s="43"/>
      <c r="C41" s="43"/>
      <c r="D41" s="43"/>
      <c r="E41" s="43"/>
      <c r="F41" s="31"/>
    </row>
    <row r="42" spans="1:10" x14ac:dyDescent="0.25">
      <c r="A42" s="43"/>
      <c r="B42" s="43"/>
      <c r="C42" s="43"/>
      <c r="D42" s="43"/>
      <c r="E42" s="43"/>
    </row>
    <row r="43" spans="1:10" x14ac:dyDescent="0.25">
      <c r="A43" s="43"/>
      <c r="B43" s="43"/>
      <c r="C43" s="43"/>
      <c r="D43" s="43"/>
      <c r="E43" s="43"/>
    </row>
    <row r="46" spans="1:10" x14ac:dyDescent="0.25">
      <c r="D46" s="12"/>
      <c r="E46" s="12"/>
      <c r="F46" s="12"/>
      <c r="G46" s="12"/>
      <c r="H46" s="12"/>
      <c r="I46" s="12"/>
      <c r="J46" s="12"/>
    </row>
    <row r="47" spans="1:10" x14ac:dyDescent="0.25">
      <c r="D47" s="31"/>
      <c r="E47" s="32"/>
      <c r="F47" s="33"/>
      <c r="G47" s="33"/>
      <c r="H47" s="32"/>
      <c r="I47" s="34"/>
      <c r="J47" s="12"/>
    </row>
    <row r="48" spans="1:10" x14ac:dyDescent="0.25">
      <c r="D48" s="31"/>
      <c r="E48" s="32"/>
      <c r="F48" s="33"/>
      <c r="G48" s="33"/>
      <c r="H48" s="32"/>
      <c r="I48" s="34"/>
      <c r="J48" s="12"/>
    </row>
    <row r="49" spans="4:10" x14ac:dyDescent="0.25">
      <c r="D49" s="31"/>
      <c r="E49" s="32"/>
      <c r="F49" s="33"/>
      <c r="G49" s="33"/>
      <c r="H49" s="32"/>
      <c r="I49" s="34"/>
      <c r="J49" s="12"/>
    </row>
    <row r="50" spans="4:10" x14ac:dyDescent="0.25">
      <c r="D50" s="31"/>
      <c r="E50" s="32"/>
      <c r="F50" s="33"/>
      <c r="G50" s="33"/>
      <c r="H50" s="32"/>
      <c r="I50" s="34"/>
      <c r="J50" s="12"/>
    </row>
    <row r="51" spans="4:10" x14ac:dyDescent="0.25">
      <c r="D51" s="12"/>
      <c r="E51" s="12"/>
      <c r="F51" s="12"/>
      <c r="G51" s="12"/>
      <c r="H51" s="12"/>
      <c r="I51" s="12"/>
      <c r="J51" s="12"/>
    </row>
    <row r="52" spans="4:10" x14ac:dyDescent="0.25">
      <c r="D52" s="12"/>
      <c r="E52" s="12"/>
      <c r="F52" s="12"/>
      <c r="G52" s="12"/>
      <c r="H52" s="12"/>
      <c r="I52" s="12"/>
      <c r="J52" s="12"/>
    </row>
  </sheetData>
  <sortState xmlns:xlrd2="http://schemas.microsoft.com/office/spreadsheetml/2017/richdata2" ref="A38:F41">
    <sortCondition descending="1" ref="F38:F41"/>
  </sortState>
  <mergeCells count="1">
    <mergeCell ref="A3:G3"/>
  </mergeCells>
  <phoneticPr fontId="4" type="noConversion"/>
  <conditionalFormatting sqref="G3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{9FE400AA-5820-471D-8924-1F6E311D3B2E}</x14:id>
        </ext>
      </extLs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D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{D73C4E8F-F130-4582-8398-428FA65896CA}</x14:id>
        </ext>
      </extLst>
    </cfRule>
  </conditionalFormatting>
  <conditionalFormatting sqref="F38:F4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{B36720CF-BE17-448F-99DC-2B0661665104}</x14:id>
        </ext>
      </extLst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E400AA-5820-471D-8924-1F6E311D3B2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G33</xm:sqref>
        </x14:conditionalFormatting>
        <x14:conditionalFormatting xmlns:xm="http://schemas.microsoft.com/office/excel/2006/main">
          <x14:cfRule type="dataBar" id="{D73C4E8F-F130-4582-8398-428FA65896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D29:D32</xm:sqref>
        </x14:conditionalFormatting>
        <x14:conditionalFormatting xmlns:xm="http://schemas.microsoft.com/office/excel/2006/main">
          <x14:cfRule type="dataBar" id="{B36720CF-BE17-448F-99DC-2B06616651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F38:F41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F87F-0CC5-4AE1-93EC-85D902AEECD2}">
  <dimension ref="A3:K10"/>
  <sheetViews>
    <sheetView zoomScaleNormal="100" workbookViewId="0">
      <selection activeCell="I21" sqref="I21"/>
    </sheetView>
  </sheetViews>
  <sheetFormatPr defaultRowHeight="15" x14ac:dyDescent="0.25"/>
  <cols>
    <col min="1" max="1" width="17.5703125" customWidth="1"/>
    <col min="2" max="2" width="11.85546875" customWidth="1"/>
    <col min="3" max="3" width="11" customWidth="1"/>
    <col min="4" max="4" width="16.42578125" customWidth="1"/>
    <col min="5" max="5" width="20.42578125" customWidth="1"/>
    <col min="6" max="6" width="19.5703125" customWidth="1"/>
    <col min="7" max="7" width="20.85546875" customWidth="1"/>
    <col min="8" max="8" width="20.5703125" customWidth="1"/>
    <col min="9" max="9" width="25.42578125" customWidth="1"/>
    <col min="10" max="10" width="25.5703125" customWidth="1"/>
    <col min="11" max="11" width="21.28515625" customWidth="1"/>
  </cols>
  <sheetData>
    <row r="3" spans="1:11" x14ac:dyDescent="0.25">
      <c r="A3" s="55" t="s">
        <v>380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1" x14ac:dyDescent="0.25">
      <c r="A4" s="60" t="s">
        <v>371</v>
      </c>
      <c r="B4" s="60" t="s">
        <v>372</v>
      </c>
      <c r="C4" s="60" t="s">
        <v>373</v>
      </c>
      <c r="D4" s="60" t="s">
        <v>374</v>
      </c>
      <c r="E4" s="60" t="s">
        <v>385</v>
      </c>
      <c r="F4" s="60" t="s">
        <v>384</v>
      </c>
      <c r="G4" s="60" t="s">
        <v>375</v>
      </c>
      <c r="H4" s="60" t="s">
        <v>386</v>
      </c>
      <c r="I4" s="68" t="s">
        <v>387</v>
      </c>
      <c r="J4" s="68" t="s">
        <v>388</v>
      </c>
      <c r="K4" s="61" t="s">
        <v>376</v>
      </c>
    </row>
    <row r="5" spans="1:11" x14ac:dyDescent="0.25">
      <c r="A5" s="58" t="s">
        <v>23</v>
      </c>
      <c r="B5" s="49">
        <v>45717</v>
      </c>
      <c r="C5" s="49">
        <v>45747</v>
      </c>
      <c r="D5" s="50">
        <f>(C5-B5)+1</f>
        <v>31</v>
      </c>
      <c r="E5" s="49">
        <f>EDATE(B5,-1)</f>
        <v>45689</v>
      </c>
      <c r="F5" s="49">
        <v>45716</v>
      </c>
      <c r="G5" s="51">
        <f>SUMIFS(Posts!P:P,Posts!O:O,'5.1.2'!A5,Posts!C:C,"&gt;="&amp;'5.1.2'!B5,Posts!C:C,"&lt;="&amp;'5.1.2'!C5)</f>
        <v>27073</v>
      </c>
      <c r="H5" s="51">
        <f>SUMIFS(Posts!$P:$P,Posts!$O:$O,'5.1.2'!$A5,Posts!$C:$C,"&gt;="&amp;E5,Posts!$C:$C,"&lt;="&amp;'5.1.2'!F5)</f>
        <v>2537</v>
      </c>
      <c r="I5" s="48">
        <f>G5/D5</f>
        <v>873.32258064516134</v>
      </c>
      <c r="J5" s="48">
        <f>H5/30</f>
        <v>84.566666666666663</v>
      </c>
      <c r="K5" s="59">
        <f>(Table4[[#This Row],[Daily engagement During]]-Table4[[#This Row],[Daily engagement Before]])/Table4[[#This Row],[Daily engagement During]]</f>
        <v>0.90316674669720132</v>
      </c>
    </row>
    <row r="6" spans="1:11" x14ac:dyDescent="0.25">
      <c r="A6" s="58" t="s">
        <v>15</v>
      </c>
      <c r="B6" s="49">
        <v>45627</v>
      </c>
      <c r="C6" s="49">
        <v>45657</v>
      </c>
      <c r="D6" s="50">
        <f>(C6-B6)+1</f>
        <v>31</v>
      </c>
      <c r="E6" s="49">
        <f>EDATE(B6,-1)</f>
        <v>45597</v>
      </c>
      <c r="F6" s="49">
        <v>45626</v>
      </c>
      <c r="G6" s="51">
        <f>SUMIFS(Posts!P:P,Posts!O:O,'5.1.2'!A6,Posts!C:C,"&gt;="&amp;'5.1.2'!B6,Posts!C:C,"&lt;="&amp;'5.1.2'!C6)</f>
        <v>9546</v>
      </c>
      <c r="H6" s="51">
        <f>SUMIFS(Posts!$P:$P,Posts!$O:$O,'5.1.2'!$A6,Posts!$C:$C,"&gt;="&amp;E6,Posts!$C:$C,"&lt;="&amp;'5.1.2'!F6)</f>
        <v>2424</v>
      </c>
      <c r="I6" s="48">
        <f>G6/D6</f>
        <v>307.93548387096774</v>
      </c>
      <c r="J6" s="48">
        <f>H6/30</f>
        <v>80.8</v>
      </c>
      <c r="K6" s="59">
        <f>(Table4[[#This Row],[Daily engagement During]]-Table4[[#This Row],[Daily engagement Before]])/Table4[[#This Row],[Daily engagement During]]</f>
        <v>0.73760737481667715</v>
      </c>
    </row>
    <row r="7" spans="1:11" x14ac:dyDescent="0.25">
      <c r="A7" s="58" t="s">
        <v>19</v>
      </c>
      <c r="B7" s="49">
        <v>45667</v>
      </c>
      <c r="C7" s="49">
        <v>45698</v>
      </c>
      <c r="D7" s="50">
        <f>(C7-B7)+1</f>
        <v>32</v>
      </c>
      <c r="E7" s="49">
        <f>EDATE(B7,-1)</f>
        <v>45636</v>
      </c>
      <c r="F7" s="49">
        <v>45666</v>
      </c>
      <c r="G7" s="51">
        <f>SUMIFS(Posts!P:P,Posts!O:O,'5.1.2'!A7,Posts!C:C,"&gt;="&amp;'5.1.2'!B7,Posts!C:C,"&lt;="&amp;'5.1.2'!C7)</f>
        <v>40373</v>
      </c>
      <c r="H7" s="51">
        <f>SUMIFS(Posts!$P:$P,Posts!$O:$O,'5.1.2'!$A7,Posts!$C:$C,"&gt;="&amp;E7,Posts!$C:$C,"&lt;="&amp;'5.1.2'!F7)</f>
        <v>54796</v>
      </c>
      <c r="I7" s="48">
        <f>G7/D7</f>
        <v>1261.65625</v>
      </c>
      <c r="J7" s="48">
        <f>H7/30</f>
        <v>1826.5333333333333</v>
      </c>
      <c r="K7" s="59">
        <f>(Table4[[#This Row],[Daily engagement During]]-Table4[[#This Row],[Daily engagement Before]])/Table4[[#This Row],[Daily engagement During]]</f>
        <v>-0.44772661597272101</v>
      </c>
    </row>
    <row r="8" spans="1:11" x14ac:dyDescent="0.25">
      <c r="A8" s="62" t="s">
        <v>9</v>
      </c>
      <c r="B8" s="63">
        <v>45458</v>
      </c>
      <c r="C8" s="63">
        <v>45488</v>
      </c>
      <c r="D8" s="64">
        <f>(C8-B8)+1</f>
        <v>31</v>
      </c>
      <c r="E8" s="63">
        <f>EDATE(B8,-1)</f>
        <v>45427</v>
      </c>
      <c r="F8" s="63">
        <v>45457</v>
      </c>
      <c r="G8" s="65">
        <f>SUMIFS(Posts!$P:$P,Posts!$O:$O,'5.1.2'!$A8,Posts!$C:$C,"&gt;="&amp;'5.1.2'!$B8,Posts!$C:$C,"&lt;="&amp;'5.1.2'!$C8)</f>
        <v>7338</v>
      </c>
      <c r="H8" s="65">
        <f>SUMIFS(Posts!$P:$P,Posts!$O:$O,'5.1.2'!$A8,Posts!$C:$C,"&gt;="&amp;E8,Posts!$C:$C,"&lt;="&amp;'5.1.2'!F8)</f>
        <v>12284</v>
      </c>
      <c r="I8" s="66">
        <f>G8/D8</f>
        <v>236.70967741935485</v>
      </c>
      <c r="J8" s="66">
        <f>H8/30</f>
        <v>409.46666666666664</v>
      </c>
      <c r="K8" s="67">
        <f>(Table4[[#This Row],[Daily engagement During]]-Table4[[#This Row],[Daily engagement Before]])/Table4[[#This Row],[Daily engagement During]]</f>
        <v>-0.72982647406196044</v>
      </c>
    </row>
    <row r="10" spans="1:11" x14ac:dyDescent="0.25">
      <c r="E10" s="47"/>
    </row>
  </sheetData>
  <mergeCells count="1">
    <mergeCell ref="A3:K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6AC9-99AE-4B61-ABC4-56A9AC8FE265}">
  <dimension ref="A3:D8"/>
  <sheetViews>
    <sheetView workbookViewId="0">
      <selection activeCell="F7" sqref="F7"/>
    </sheetView>
  </sheetViews>
  <sheetFormatPr defaultRowHeight="15" x14ac:dyDescent="0.25"/>
  <cols>
    <col min="1" max="1" width="20.140625" bestFit="1" customWidth="1"/>
    <col min="2" max="2" width="21" bestFit="1" customWidth="1"/>
    <col min="3" max="3" width="19.28515625" bestFit="1" customWidth="1"/>
    <col min="4" max="4" width="24.28515625" bestFit="1" customWidth="1"/>
  </cols>
  <sheetData>
    <row r="3" spans="1:4" x14ac:dyDescent="0.25">
      <c r="A3" s="56" t="s">
        <v>382</v>
      </c>
      <c r="B3" s="56"/>
      <c r="C3" s="56"/>
      <c r="D3" s="56"/>
    </row>
    <row r="4" spans="1:4" x14ac:dyDescent="0.25">
      <c r="A4" s="27" t="s">
        <v>371</v>
      </c>
      <c r="B4" s="53" t="s">
        <v>377</v>
      </c>
      <c r="C4" s="53" t="s">
        <v>378</v>
      </c>
      <c r="D4" s="52" t="s">
        <v>389</v>
      </c>
    </row>
    <row r="5" spans="1:4" x14ac:dyDescent="0.25">
      <c r="A5" s="20" t="s">
        <v>19</v>
      </c>
      <c r="B5" s="17">
        <f>SUMIFS('Engagement Summary'!I:I,'Engagement Summary'!B:B,"Twitter",'Engagement Summary'!A:A,"&gt;="&amp;'Campaign Metadata'!B4,'Engagement Summary'!A:A,"&lt;="&amp;'Campaign Metadata'!C4)+SUMIFS('Engagement Summary'!I:I,'Engagement Summary'!B:B,"YouTube",'Engagement Summary'!A:A,"&gt;="&amp;'Campaign Metadata'!B4,'Engagement Summary'!A:A,"&lt;="&amp;'Campaign Metadata'!C4)</f>
        <v>133793</v>
      </c>
      <c r="C5" s="17">
        <f>SUMIFS(Posts[Total Enagagement],Posts[Campaign_Name],A5)</f>
        <v>551989</v>
      </c>
      <c r="D5" s="21">
        <f>B5/C5</f>
        <v>0.24238345329345332</v>
      </c>
    </row>
    <row r="6" spans="1:4" x14ac:dyDescent="0.25">
      <c r="A6" s="22" t="s">
        <v>23</v>
      </c>
      <c r="B6" s="17">
        <f>SUMIFS('Engagement Summary'!I:I,'Engagement Summary'!B:B,"Twitter",'Engagement Summary'!A:A,"&gt;="&amp;'Campaign Metadata'!B5,'Engagement Summary'!A:A,"&lt;="&amp;'Campaign Metadata'!C5)+SUMIFS('Engagement Summary'!I:I,'Engagement Summary'!B:B,"YouTube",'Engagement Summary'!A:A,"&gt;="&amp;'Campaign Metadata'!B5,'Engagement Summary'!A:A,"&lt;="&amp;'Campaign Metadata'!C5)</f>
        <v>172589</v>
      </c>
      <c r="C6" s="17">
        <f>SUMIFS(Posts[Total Enagagement],Posts[Campaign_Name],A6)</f>
        <v>324406</v>
      </c>
      <c r="D6" s="21">
        <f>B6/C6</f>
        <v>0.53201543744566993</v>
      </c>
    </row>
    <row r="7" spans="1:4" x14ac:dyDescent="0.25">
      <c r="A7" s="20" t="s">
        <v>9</v>
      </c>
      <c r="B7" s="17">
        <f>SUMIFS('Engagement Summary'!I:I,'Engagement Summary'!B:B,"Twitter",'Engagement Summary'!A:A,"&gt;="&amp;'Campaign Metadata'!B2,'Engagement Summary'!A:A,"&lt;="&amp;'Campaign Metadata'!C2)+SUMIFS('Engagement Summary'!I:I,'Engagement Summary'!B:B,"YouTube",'Engagement Summary'!A:A,"&gt;="&amp;'Campaign Metadata'!B2,'Engagement Summary'!A:A,"&lt;="&amp;'Campaign Metadata'!C2)</f>
        <v>174329</v>
      </c>
      <c r="C7" s="17">
        <f>SUMIFS(Posts[Total Enagagement],Posts[Campaign_Name],"SummerBeats")</f>
        <v>105783</v>
      </c>
      <c r="D7" s="21">
        <f>B7/C7</f>
        <v>1.64798691661231</v>
      </c>
    </row>
    <row r="8" spans="1:4" x14ac:dyDescent="0.25">
      <c r="A8" s="57" t="s">
        <v>15</v>
      </c>
      <c r="B8" s="23">
        <f>SUMIFS('Engagement Summary'!I:I,'Engagement Summary'!B:B,"Twitter",'Engagement Summary'!A:A,"&gt;="&amp;'Campaign Metadata'!B3,'Engagement Summary'!A:A,"&lt;="&amp;'Campaign Metadata'!C3)+SUMIFS('Engagement Summary'!I:I,'Engagement Summary'!B:B,"YouTube",'Engagement Summary'!A:A,"&gt;="&amp;'Campaign Metadata'!B3,'Engagement Summary'!A:A,"&lt;="&amp;'Campaign Metadata'!C3)</f>
        <v>143172</v>
      </c>
      <c r="C8" s="23">
        <f>SUMIFS(Posts[Total Enagagement],Posts[Campaign_Name],A8)</f>
        <v>75464</v>
      </c>
      <c r="D8" s="24">
        <f>B8/C8</f>
        <v>1.8972225166967032</v>
      </c>
    </row>
  </sheetData>
  <mergeCells count="1">
    <mergeCell ref="A3:D3"/>
  </mergeCells>
  <conditionalFormatting sqref="D5:D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{86CE5B85-91F8-418D-93F1-4F5B4033BD6D}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CE5B85-91F8-418D-93F1-4F5B4033BD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BC46-8AB8-48B9-A56C-C7533B9486A4}">
  <dimension ref="A3:I10"/>
  <sheetViews>
    <sheetView tabSelected="1" workbookViewId="0">
      <selection activeCell="K31" sqref="K31"/>
    </sheetView>
  </sheetViews>
  <sheetFormatPr defaultRowHeight="15" x14ac:dyDescent="0.25"/>
  <cols>
    <col min="1" max="1" width="17.85546875" customWidth="1"/>
    <col min="2" max="2" width="12.7109375" customWidth="1"/>
    <col min="3" max="3" width="13.28515625" customWidth="1"/>
    <col min="4" max="4" width="16.85546875" customWidth="1"/>
    <col min="6" max="6" width="15.5703125" bestFit="1" customWidth="1"/>
    <col min="7" max="8" width="10.42578125" bestFit="1" customWidth="1"/>
    <col min="9" max="9" width="20.85546875" customWidth="1"/>
  </cols>
  <sheetData>
    <row r="3" spans="1:9" x14ac:dyDescent="0.25">
      <c r="A3" s="13"/>
    </row>
    <row r="4" spans="1:9" x14ac:dyDescent="0.25">
      <c r="A4" s="54" t="s">
        <v>383</v>
      </c>
      <c r="B4" s="54"/>
      <c r="C4" s="54"/>
      <c r="D4" s="54"/>
      <c r="E4" s="5"/>
      <c r="F4" s="31"/>
      <c r="G4" s="31"/>
      <c r="H4" s="31"/>
      <c r="I4" s="31"/>
    </row>
    <row r="5" spans="1:9" x14ac:dyDescent="0.25">
      <c r="A5" s="26" t="s">
        <v>371</v>
      </c>
      <c r="B5" s="26" t="s">
        <v>372</v>
      </c>
      <c r="C5" s="26" t="s">
        <v>373</v>
      </c>
      <c r="D5" s="26" t="s">
        <v>379</v>
      </c>
      <c r="E5" s="4"/>
      <c r="F5" s="4"/>
      <c r="G5" s="4"/>
      <c r="H5" s="4"/>
      <c r="I5" s="4"/>
    </row>
    <row r="6" spans="1:9" x14ac:dyDescent="0.25">
      <c r="A6" s="14" t="s">
        <v>9</v>
      </c>
      <c r="B6" s="15">
        <v>45458</v>
      </c>
      <c r="C6" s="15">
        <v>45488</v>
      </c>
      <c r="D6" s="16">
        <f>SUMIFS('Engagement Summary'!F:F,'Engagement Summary'!B:B,"Instagram",'Engagement Summary'!A:A,"&gt;="&amp;'5.2.2'!B6,'Engagement Summary'!A:A,"&lt;="&amp;'5.2.2'!C6)+SUMIFS('Engagement Summary'!F:F,'Engagement Summary'!B:B,"YouTube",'Engagement Summary'!A:A,"&gt;="&amp;'5.2.2'!B6,'Engagement Summary'!A:A,"&lt;="&amp;'5.2.2'!C6)</f>
        <v>8090</v>
      </c>
      <c r="E6" s="31"/>
      <c r="F6" s="39"/>
      <c r="G6" s="36"/>
      <c r="H6" s="36"/>
      <c r="I6" s="31"/>
    </row>
    <row r="7" spans="1:9" x14ac:dyDescent="0.25">
      <c r="A7" s="18" t="s">
        <v>15</v>
      </c>
      <c r="B7" s="15">
        <v>45627</v>
      </c>
      <c r="C7" s="15">
        <v>45657</v>
      </c>
      <c r="D7" s="16">
        <f>SUMIFS('Engagement Summary'!F:F,'Engagement Summary'!B:B,"Twitter",'Engagement Summary'!A:A,"&gt;="&amp;'5.2.2'!B7,'Engagement Summary'!A:A,"&lt;="&amp;'5.2.2'!C7)+SUMIFS('Engagement Summary'!F:F,'Engagement Summary'!B:B,"YouTube",'Engagement Summary'!A:A,"&gt;="&amp;'5.2.2'!B7,'Engagement Summary'!A:A,"&lt;="&amp;'5.2.2'!C7)</f>
        <v>7845</v>
      </c>
      <c r="E7" s="31"/>
      <c r="F7" s="39"/>
      <c r="G7" s="36"/>
      <c r="H7" s="36"/>
      <c r="I7" s="31"/>
    </row>
    <row r="8" spans="1:9" x14ac:dyDescent="0.25">
      <c r="A8" s="14" t="s">
        <v>19</v>
      </c>
      <c r="B8" s="15">
        <v>45667</v>
      </c>
      <c r="C8" s="15">
        <v>45698</v>
      </c>
      <c r="D8" s="16">
        <f>SUMIFS('Engagement Summary'!F:F,'Engagement Summary'!B:B,"Instagram",'Engagement Summary'!A:A,"&gt;="&amp;'5.2.2'!B8,'Engagement Summary'!A:A,"&lt;="&amp;'5.2.2'!C8)+SUMIFS('Engagement Summary'!F:F,'Engagement Summary'!B:B,"Twitter",'Engagement Summary'!A:A,"&gt;="&amp;'5.2.2'!B8,'Engagement Summary'!A:A,"&lt;="&amp;'5.2.2'!C8)</f>
        <v>7300</v>
      </c>
      <c r="E8" s="31"/>
      <c r="F8" s="32"/>
      <c r="G8" s="36"/>
      <c r="H8" s="36"/>
      <c r="I8" s="31"/>
    </row>
    <row r="9" spans="1:9" x14ac:dyDescent="0.25">
      <c r="A9" s="18" t="s">
        <v>23</v>
      </c>
      <c r="B9" s="15">
        <v>45717</v>
      </c>
      <c r="C9" s="15">
        <v>45747</v>
      </c>
      <c r="D9" s="16">
        <f>SUMIFS('Engagement Summary'!F:F,'Engagement Summary'!B:B,"Instagram",'Engagement Summary'!A:A,"&gt;="&amp;'5.2.2'!B9,'Engagement Summary'!A:A,"&lt;="&amp;'5.2.2'!C9)+SUMIFS('Engagement Summary'!F:F,'Engagement Summary'!B:B,"Facebook",'Engagement Summary'!A:A,"&gt;="&amp;'5.2.2'!B9,'Engagement Summary'!A:A,"&lt;="&amp;'5.2.2'!C9)</f>
        <v>3389</v>
      </c>
      <c r="E9" s="31"/>
      <c r="F9" s="32"/>
      <c r="G9" s="36"/>
      <c r="H9" s="36"/>
      <c r="I9" s="31"/>
    </row>
    <row r="10" spans="1:9" x14ac:dyDescent="0.25">
      <c r="F10" s="31"/>
      <c r="G10" s="31"/>
      <c r="H10" s="31"/>
      <c r="I10" s="31"/>
    </row>
  </sheetData>
  <autoFilter ref="A5:D9" xr:uid="{267FBC46-8AB8-48B9-A56C-C7533B9486A4}">
    <sortState xmlns:xlrd2="http://schemas.microsoft.com/office/spreadsheetml/2017/richdata2" ref="A6:D9">
      <sortCondition descending="1" ref="D5:D9"/>
    </sortState>
  </autoFilter>
  <mergeCells count="1">
    <mergeCell ref="A4:D4"/>
  </mergeCells>
  <conditionalFormatting sqref="D6:D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{DB561A78-8CA0-485C-B7CB-9FA0A592BBD5}</x14:id>
        </ext>
      </extLst>
    </cfRule>
  </conditionalFormatting>
  <conditionalFormatting sqref="I6:I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{0B5CD894-2F89-4C48-9721-44718D9B7825}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561A78-8CA0-485C-B7CB-9FA0A592B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D6:D9</xm:sqref>
        </x14:conditionalFormatting>
        <x14:conditionalFormatting xmlns:xm="http://schemas.microsoft.com/office/excel/2006/main">
          <x14:cfRule type="dataBar" id="{0B5CD894-2F89-4C48-9721-44718D9B7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I6:I9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87F81F3-AA55-4268-8D8D-CD2C7741C7D4}">
  <ds:schemaRefs/>
</ds:datastoreItem>
</file>

<file path=customXml/itemProps2.xml><?xml version="1.0" encoding="utf-8"?>
<ds:datastoreItem xmlns:ds="http://schemas.openxmlformats.org/officeDocument/2006/customXml" ds:itemID="{82B749AF-128F-47B4-845E-D0554C2D4A1D}">
  <ds:schemaRefs/>
</ds:datastoreItem>
</file>

<file path=customXml/itemProps3.xml><?xml version="1.0" encoding="utf-8"?>
<ds:datastoreItem xmlns:ds="http://schemas.openxmlformats.org/officeDocument/2006/customXml" ds:itemID="{29B1E749-4D03-47A5-8167-38C5E89AD938}">
  <ds:schemaRefs/>
</ds:datastoreItem>
</file>

<file path=customXml/itemProps4.xml><?xml version="1.0" encoding="utf-8"?>
<ds:datastoreItem xmlns:ds="http://schemas.openxmlformats.org/officeDocument/2006/customXml" ds:itemID="{D8B52F19-6FFC-4D80-8E56-1B7EBD812707}">
  <ds:schemaRefs/>
</ds:datastoreItem>
</file>

<file path=customXml/itemProps5.xml><?xml version="1.0" encoding="utf-8"?>
<ds:datastoreItem xmlns:ds="http://schemas.openxmlformats.org/officeDocument/2006/customXml" ds:itemID="{8DDAFA46-25DE-42D0-9684-403E6F941887}">
  <ds:schemaRefs/>
</ds:datastoreItem>
</file>

<file path=customXml/itemProps6.xml><?xml version="1.0" encoding="utf-8"?>
<ds:datastoreItem xmlns:ds="http://schemas.openxmlformats.org/officeDocument/2006/customXml" ds:itemID="{C4900A81-2F67-4F21-9041-FC65AC4B6AF8}">
  <ds:schemaRefs/>
</ds:datastoreItem>
</file>

<file path=customXml/itemProps7.xml><?xml version="1.0" encoding="utf-8"?>
<ds:datastoreItem xmlns:ds="http://schemas.openxmlformats.org/officeDocument/2006/customXml" ds:itemID="{E93753D9-1694-431F-AF36-9209A531023F}">
  <ds:schemaRefs/>
</ds:datastoreItem>
</file>

<file path=customXml/itemProps8.xml><?xml version="1.0" encoding="utf-8"?>
<ds:datastoreItem xmlns:ds="http://schemas.openxmlformats.org/officeDocument/2006/customXml" ds:itemID="{1C3A497D-B161-44C6-83E2-08028917080B}">
  <ds:schemaRefs/>
</ds:datastoreItem>
</file>

<file path=customXml/itemProps9.xml><?xml version="1.0" encoding="utf-8"?>
<ds:datastoreItem xmlns:ds="http://schemas.openxmlformats.org/officeDocument/2006/customXml" ds:itemID="{F900DD28-0D2E-4DF5-8F25-51EA47FE4D26}">
  <ds:schemaRefs/>
</ds:datastoreItem>
</file>

<file path=customXml/itemProps10.xml><?xml version="1.0" encoding="utf-8"?>
<ds:datastoreItem xmlns:ds="http://schemas.openxmlformats.org/officeDocument/2006/customXml" ds:itemID="{50D6ABFB-75C0-4B48-A1D0-F6617409C6BB}">
  <ds:schemaRefs/>
</ds:datastoreItem>
</file>

<file path=customXml/itemProps11.xml><?xml version="1.0" encoding="utf-8"?>
<ds:datastoreItem xmlns:ds="http://schemas.openxmlformats.org/officeDocument/2006/customXml" ds:itemID="{B4B5D6C5-7034-4242-A566-1E8C83F7CDB5}">
  <ds:schemaRefs/>
</ds:datastoreItem>
</file>

<file path=customXml/itemProps12.xml><?xml version="1.0" encoding="utf-8"?>
<ds:datastoreItem xmlns:ds="http://schemas.openxmlformats.org/officeDocument/2006/customXml" ds:itemID="{D9EF4034-E42F-4DB5-9023-E2F7D2D15AD9}">
  <ds:schemaRefs/>
</ds:datastoreItem>
</file>

<file path=customXml/itemProps13.xml><?xml version="1.0" encoding="utf-8"?>
<ds:datastoreItem xmlns:ds="http://schemas.openxmlformats.org/officeDocument/2006/customXml" ds:itemID="{0CDFF44D-20F1-4432-AAAC-696B6D3C3F0D}">
  <ds:schemaRefs/>
</ds:datastoreItem>
</file>

<file path=customXml/itemProps14.xml><?xml version="1.0" encoding="utf-8"?>
<ds:datastoreItem xmlns:ds="http://schemas.openxmlformats.org/officeDocument/2006/customXml" ds:itemID="{BCCBA428-6523-4A08-AA86-8F836137000A}">
  <ds:schemaRefs/>
</ds:datastoreItem>
</file>

<file path=customXml/itemProps15.xml><?xml version="1.0" encoding="utf-8"?>
<ds:datastoreItem xmlns:ds="http://schemas.openxmlformats.org/officeDocument/2006/customXml" ds:itemID="{823C71B5-8AB0-4434-9379-F1D5937EC3BC}">
  <ds:schemaRefs/>
</ds:datastoreItem>
</file>

<file path=customXml/itemProps16.xml><?xml version="1.0" encoding="utf-8"?>
<ds:datastoreItem xmlns:ds="http://schemas.openxmlformats.org/officeDocument/2006/customXml" ds:itemID="{DDB80056-F761-482D-84FC-4FCA2E9264E1}">
  <ds:schemaRefs/>
</ds:datastoreItem>
</file>

<file path=customXml/itemProps17.xml><?xml version="1.0" encoding="utf-8"?>
<ds:datastoreItem xmlns:ds="http://schemas.openxmlformats.org/officeDocument/2006/customXml" ds:itemID="{ADD57D11-AEDD-4232-A793-13CB33B24EF6}">
  <ds:schemaRefs/>
</ds:datastoreItem>
</file>

<file path=customXml/itemProps18.xml><?xml version="1.0" encoding="utf-8"?>
<ds:datastoreItem xmlns:ds="http://schemas.openxmlformats.org/officeDocument/2006/customXml" ds:itemID="{94951ADE-BFDD-41BF-AFC6-92F2DA0090D4}">
  <ds:schemaRefs/>
</ds:datastoreItem>
</file>

<file path=customXml/itemProps19.xml><?xml version="1.0" encoding="utf-8"?>
<ds:datastoreItem xmlns:ds="http://schemas.openxmlformats.org/officeDocument/2006/customXml" ds:itemID="{D800D8C1-B183-4CC4-A4D7-9677BEE3C727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4FC5378A-0BCF-44C1-988B-FBDD4731E2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Posts</vt:lpstr>
      <vt:lpstr>Engagement Summary</vt:lpstr>
      <vt:lpstr>Campaign Metadata</vt:lpstr>
      <vt:lpstr>Seprated Hashtag</vt:lpstr>
      <vt:lpstr>5.1.1Campaign Effectiveness</vt:lpstr>
      <vt:lpstr>5.1.2</vt:lpstr>
      <vt:lpstr>5.2.1</vt:lpstr>
      <vt:lpstr>5.2.2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Kadam</dc:creator>
  <cp:lastModifiedBy>Roronoa Zoro</cp:lastModifiedBy>
  <dcterms:created xsi:type="dcterms:W3CDTF">2025-09-05T06:23:05Z</dcterms:created>
  <dcterms:modified xsi:type="dcterms:W3CDTF">2025-09-12T11:41:54Z</dcterms:modified>
</cp:coreProperties>
</file>